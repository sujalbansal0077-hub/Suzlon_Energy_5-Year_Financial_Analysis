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jal\Downloads\"/>
    </mc:Choice>
  </mc:AlternateContent>
  <xr:revisionPtr revIDLastSave="0" documentId="13_ncr:1_{71FC4839-53C1-4A49-A8EE-99C788D59560}" xr6:coauthVersionLast="47" xr6:coauthVersionMax="47" xr10:uidLastSave="{00000000-0000-0000-0000-000000000000}"/>
  <bookViews>
    <workbookView xWindow="-108" yWindow="-108" windowWidth="23256" windowHeight="12456" tabRatio="500" firstSheet="4" activeTab="8" xr2:uid="{00000000-000D-0000-FFFF-FFFF00000000}"/>
  </bookViews>
  <sheets>
    <sheet name="00 Raw Data" sheetId="1" r:id="rId1"/>
    <sheet name="01 Income Statement" sheetId="2" r:id="rId2"/>
    <sheet name="02 Income Ratios" sheetId="3" r:id="rId3"/>
    <sheet name="03 Balance Sheet" sheetId="4" r:id="rId4"/>
    <sheet name="04 Balance Ratios" sheetId="5" r:id="rId5"/>
    <sheet name="05 Red Flags" sheetId="6" r:id="rId6"/>
    <sheet name="06 ESG" sheetId="7" r:id="rId7"/>
    <sheet name="07 MD&amp;A" sheetId="8" r:id="rId8"/>
    <sheet name="08 Sources &amp; Notes" sheetId="9" r:id="rId9"/>
  </sheets>
  <definedNames>
    <definedName name="_xlnm._FilterDatabase" localSheetId="0" hidden="1">'00 Raw Data'!$A$4:$H$58</definedName>
    <definedName name="_xlnm._FilterDatabase" localSheetId="5" hidden="1">'05 Red Flags'!$A$4:$G$24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47" i="4"/>
  <c r="E47" i="4"/>
  <c r="F46" i="4"/>
  <c r="E46" i="4"/>
  <c r="D46" i="4"/>
  <c r="C46" i="4"/>
  <c r="G46" i="4" s="1"/>
  <c r="B46" i="4"/>
  <c r="K45" i="4"/>
  <c r="F45" i="4"/>
  <c r="E45" i="4"/>
  <c r="D45" i="4"/>
  <c r="H45" i="4" s="1"/>
  <c r="C45" i="4"/>
  <c r="B45" i="4"/>
  <c r="J44" i="4"/>
  <c r="I44" i="4"/>
  <c r="F44" i="4"/>
  <c r="E44" i="4"/>
  <c r="D44" i="4"/>
  <c r="H44" i="4" s="1"/>
  <c r="C44" i="4"/>
  <c r="B44" i="4"/>
  <c r="K44" i="4" s="1"/>
  <c r="K43" i="4"/>
  <c r="J43" i="4"/>
  <c r="I43" i="4"/>
  <c r="H43" i="4"/>
  <c r="G43" i="4"/>
  <c r="F43" i="4"/>
  <c r="E43" i="4"/>
  <c r="D43" i="4"/>
  <c r="C43" i="4"/>
  <c r="B43" i="4"/>
  <c r="K42" i="4"/>
  <c r="J42" i="4"/>
  <c r="I42" i="4"/>
  <c r="H42" i="4"/>
  <c r="G42" i="4"/>
  <c r="F42" i="4"/>
  <c r="E42" i="4"/>
  <c r="D42" i="4"/>
  <c r="C42" i="4"/>
  <c r="B42" i="4"/>
  <c r="H41" i="4"/>
  <c r="G41" i="4"/>
  <c r="F41" i="4"/>
  <c r="E41" i="4"/>
  <c r="I41" i="4" s="1"/>
  <c r="D41" i="4"/>
  <c r="C41" i="4"/>
  <c r="B41" i="4"/>
  <c r="F40" i="4"/>
  <c r="E40" i="4"/>
  <c r="D40" i="4"/>
  <c r="C40" i="4"/>
  <c r="B40" i="4"/>
  <c r="K39" i="4"/>
  <c r="F39" i="4"/>
  <c r="J39" i="4" s="1"/>
  <c r="E39" i="4"/>
  <c r="D39" i="4"/>
  <c r="C39" i="4"/>
  <c r="B39" i="4"/>
  <c r="J38" i="4"/>
  <c r="I38" i="4"/>
  <c r="F38" i="4"/>
  <c r="E38" i="4"/>
  <c r="D38" i="4"/>
  <c r="C38" i="4"/>
  <c r="B38" i="4"/>
  <c r="H36" i="4"/>
  <c r="G36" i="4"/>
  <c r="F36" i="4"/>
  <c r="E36" i="4"/>
  <c r="I36" i="4" s="1"/>
  <c r="D36" i="4"/>
  <c r="C36" i="4"/>
  <c r="B36" i="4"/>
  <c r="F35" i="4"/>
  <c r="E35" i="4"/>
  <c r="I35" i="4" s="1"/>
  <c r="D35" i="4"/>
  <c r="C35" i="4"/>
  <c r="G35" i="4" s="1"/>
  <c r="B35" i="4"/>
  <c r="G34" i="4"/>
  <c r="F34" i="4"/>
  <c r="E34" i="4"/>
  <c r="I34" i="4" s="1"/>
  <c r="D34" i="4"/>
  <c r="C34" i="4"/>
  <c r="B34" i="4"/>
  <c r="F33" i="4"/>
  <c r="E33" i="4"/>
  <c r="D33" i="4"/>
  <c r="C33" i="4"/>
  <c r="B33" i="4"/>
  <c r="K33" i="4" s="1"/>
  <c r="K32" i="4"/>
  <c r="J32" i="4"/>
  <c r="I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F30" i="4"/>
  <c r="E30" i="4"/>
  <c r="I29" i="4"/>
  <c r="H29" i="4"/>
  <c r="F29" i="4"/>
  <c r="E29" i="4"/>
  <c r="D29" i="4"/>
  <c r="C29" i="4"/>
  <c r="G29" i="4" s="1"/>
  <c r="B29" i="4"/>
  <c r="F28" i="4"/>
  <c r="E28" i="4"/>
  <c r="D28" i="4"/>
  <c r="C28" i="4"/>
  <c r="B28" i="4"/>
  <c r="B30" i="4" s="1"/>
  <c r="C26" i="4"/>
  <c r="B26" i="4"/>
  <c r="K25" i="4"/>
  <c r="J25" i="4"/>
  <c r="I25" i="4"/>
  <c r="H25" i="4"/>
  <c r="G25" i="4"/>
  <c r="F25" i="4"/>
  <c r="E25" i="4"/>
  <c r="D25" i="4"/>
  <c r="C25" i="4"/>
  <c r="B25" i="4"/>
  <c r="K24" i="4"/>
  <c r="J24" i="4"/>
  <c r="I24" i="4"/>
  <c r="H24" i="4"/>
  <c r="G24" i="4"/>
  <c r="F24" i="4"/>
  <c r="E24" i="4"/>
  <c r="D24" i="4"/>
  <c r="C24" i="4"/>
  <c r="B24" i="4"/>
  <c r="H23" i="4"/>
  <c r="G23" i="4"/>
  <c r="F23" i="4"/>
  <c r="E23" i="4"/>
  <c r="I23" i="4" s="1"/>
  <c r="D23" i="4"/>
  <c r="C23" i="4"/>
  <c r="B23" i="4"/>
  <c r="F22" i="4"/>
  <c r="E22" i="4"/>
  <c r="D22" i="4"/>
  <c r="C22" i="4"/>
  <c r="B22" i="4"/>
  <c r="K21" i="4"/>
  <c r="F21" i="4"/>
  <c r="E21" i="4"/>
  <c r="D21" i="4"/>
  <c r="H21" i="4" s="1"/>
  <c r="C21" i="4"/>
  <c r="B21" i="4"/>
  <c r="J20" i="4"/>
  <c r="I20" i="4"/>
  <c r="F20" i="4"/>
  <c r="E20" i="4"/>
  <c r="D20" i="4"/>
  <c r="C20" i="4"/>
  <c r="B20" i="4"/>
  <c r="K19" i="4"/>
  <c r="J19" i="4"/>
  <c r="I19" i="4"/>
  <c r="H19" i="4"/>
  <c r="G19" i="4"/>
  <c r="F19" i="4"/>
  <c r="E19" i="4"/>
  <c r="D19" i="4"/>
  <c r="C19" i="4"/>
  <c r="B19" i="4"/>
  <c r="K18" i="4"/>
  <c r="J18" i="4"/>
  <c r="I18" i="4"/>
  <c r="H18" i="4"/>
  <c r="G18" i="4"/>
  <c r="F18" i="4"/>
  <c r="E18" i="4"/>
  <c r="D18" i="4"/>
  <c r="C18" i="4"/>
  <c r="B18" i="4"/>
  <c r="G17" i="4"/>
  <c r="F17" i="4"/>
  <c r="E17" i="4"/>
  <c r="D17" i="4"/>
  <c r="H17" i="4" s="1"/>
  <c r="C17" i="4"/>
  <c r="B17" i="4"/>
  <c r="K15" i="4"/>
  <c r="F15" i="4"/>
  <c r="E15" i="4"/>
  <c r="D15" i="4"/>
  <c r="H15" i="4" s="1"/>
  <c r="C15" i="4"/>
  <c r="B15" i="4"/>
  <c r="J14" i="4"/>
  <c r="F14" i="4"/>
  <c r="E14" i="4"/>
  <c r="D14" i="4"/>
  <c r="C14" i="4"/>
  <c r="G14" i="4" s="1"/>
  <c r="B14" i="4"/>
  <c r="K14" i="4" s="1"/>
  <c r="K13" i="4"/>
  <c r="J13" i="4"/>
  <c r="I13" i="4"/>
  <c r="H13" i="4"/>
  <c r="G13" i="4"/>
  <c r="F13" i="4"/>
  <c r="E13" i="4"/>
  <c r="D13" i="4"/>
  <c r="C13" i="4"/>
  <c r="B13" i="4"/>
  <c r="K12" i="4"/>
  <c r="J12" i="4"/>
  <c r="I12" i="4"/>
  <c r="H12" i="4"/>
  <c r="G12" i="4"/>
  <c r="F12" i="4"/>
  <c r="E12" i="4"/>
  <c r="D12" i="4"/>
  <c r="C12" i="4"/>
  <c r="B12" i="4"/>
  <c r="H11" i="4"/>
  <c r="G11" i="4"/>
  <c r="F11" i="4"/>
  <c r="E11" i="4"/>
  <c r="I11" i="4" s="1"/>
  <c r="D11" i="4"/>
  <c r="C11" i="4"/>
  <c r="B11" i="4"/>
  <c r="F10" i="4"/>
  <c r="E10" i="4"/>
  <c r="D10" i="4"/>
  <c r="C10" i="4"/>
  <c r="B10" i="4"/>
  <c r="K9" i="4"/>
  <c r="F9" i="4"/>
  <c r="E9" i="4"/>
  <c r="D9" i="4"/>
  <c r="H9" i="4" s="1"/>
  <c r="C9" i="4"/>
  <c r="B9" i="4"/>
  <c r="J8" i="4"/>
  <c r="I8" i="4"/>
  <c r="F8" i="4"/>
  <c r="E8" i="4"/>
  <c r="D8" i="4"/>
  <c r="C8" i="4"/>
  <c r="B8" i="4"/>
  <c r="K8" i="4" s="1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G5" i="4"/>
  <c r="F5" i="4"/>
  <c r="E5" i="4"/>
  <c r="D5" i="4"/>
  <c r="C5" i="4"/>
  <c r="B5" i="4"/>
  <c r="B17" i="3"/>
  <c r="B5" i="3"/>
  <c r="K24" i="2"/>
  <c r="J24" i="2"/>
  <c r="I24" i="2"/>
  <c r="G24" i="2"/>
  <c r="F24" i="2"/>
  <c r="E24" i="2"/>
  <c r="D24" i="2"/>
  <c r="H24" i="2" s="1"/>
  <c r="C24" i="2"/>
  <c r="B24" i="2"/>
  <c r="F22" i="2"/>
  <c r="E22" i="2"/>
  <c r="D22" i="2"/>
  <c r="C22" i="2"/>
  <c r="B22" i="2"/>
  <c r="J20" i="2"/>
  <c r="I20" i="2"/>
  <c r="F20" i="2"/>
  <c r="E20" i="2"/>
  <c r="D20" i="2"/>
  <c r="C20" i="2"/>
  <c r="B20" i="2"/>
  <c r="K20" i="2" s="1"/>
  <c r="F15" i="2"/>
  <c r="E15" i="2"/>
  <c r="D15" i="2"/>
  <c r="C15" i="2"/>
  <c r="B15" i="2"/>
  <c r="K15" i="2" s="1"/>
  <c r="K14" i="2"/>
  <c r="J14" i="2"/>
  <c r="I14" i="2"/>
  <c r="F14" i="2"/>
  <c r="E14" i="2"/>
  <c r="D14" i="2"/>
  <c r="C14" i="2"/>
  <c r="C16" i="3" s="1"/>
  <c r="B14" i="2"/>
  <c r="B16" i="3" s="1"/>
  <c r="K13" i="2"/>
  <c r="J13" i="2"/>
  <c r="I13" i="2"/>
  <c r="H13" i="2"/>
  <c r="G13" i="2"/>
  <c r="F13" i="2"/>
  <c r="E13" i="2"/>
  <c r="D13" i="2"/>
  <c r="C13" i="2"/>
  <c r="B13" i="2"/>
  <c r="I12" i="2"/>
  <c r="H12" i="2"/>
  <c r="G12" i="2"/>
  <c r="F12" i="2"/>
  <c r="F16" i="2" s="1"/>
  <c r="E12" i="2"/>
  <c r="D12" i="2"/>
  <c r="C12" i="2"/>
  <c r="B12" i="2"/>
  <c r="F11" i="2"/>
  <c r="E11" i="2"/>
  <c r="D11" i="2"/>
  <c r="C11" i="2"/>
  <c r="G11" i="2" s="1"/>
  <c r="B11" i="2"/>
  <c r="F10" i="2"/>
  <c r="E10" i="2"/>
  <c r="D10" i="2"/>
  <c r="C10" i="2"/>
  <c r="G10" i="2" s="1"/>
  <c r="B10" i="2"/>
  <c r="K9" i="2"/>
  <c r="F9" i="2"/>
  <c r="E9" i="2"/>
  <c r="D9" i="2"/>
  <c r="C9" i="2"/>
  <c r="B9" i="2"/>
  <c r="K7" i="2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K6" i="2" s="1"/>
  <c r="E6" i="2"/>
  <c r="D6" i="2"/>
  <c r="C6" i="2"/>
  <c r="B6" i="2"/>
  <c r="F5" i="2"/>
  <c r="E5" i="2"/>
  <c r="E14" i="3" s="1"/>
  <c r="D5" i="2"/>
  <c r="C5" i="2"/>
  <c r="C17" i="2" s="1"/>
  <c r="B5" i="2"/>
  <c r="B14" i="3" s="1"/>
  <c r="C18" i="2" l="1"/>
  <c r="C6" i="3"/>
  <c r="F15" i="3"/>
  <c r="I9" i="4"/>
  <c r="B8" i="2"/>
  <c r="E16" i="4"/>
  <c r="H14" i="4"/>
  <c r="I14" i="4"/>
  <c r="G26" i="4"/>
  <c r="H35" i="4"/>
  <c r="J21" i="4"/>
  <c r="D8" i="2"/>
  <c r="D5" i="3"/>
  <c r="H5" i="2"/>
  <c r="D16" i="3"/>
  <c r="G8" i="4"/>
  <c r="C16" i="4"/>
  <c r="E26" i="4"/>
  <c r="E13" i="5"/>
  <c r="I17" i="4"/>
  <c r="K20" i="4"/>
  <c r="B11" i="5"/>
  <c r="B48" i="4"/>
  <c r="G40" i="4"/>
  <c r="H9" i="2"/>
  <c r="D16" i="2"/>
  <c r="F5" i="3"/>
  <c r="F8" i="2"/>
  <c r="K5" i="2"/>
  <c r="F12" i="5"/>
  <c r="J5" i="2"/>
  <c r="F16" i="3"/>
  <c r="F17" i="2"/>
  <c r="I9" i="2"/>
  <c r="E16" i="2"/>
  <c r="J16" i="2" s="1"/>
  <c r="K12" i="2"/>
  <c r="G22" i="4"/>
  <c r="J47" i="4"/>
  <c r="H22" i="2"/>
  <c r="J9" i="2"/>
  <c r="B17" i="2"/>
  <c r="I15" i="4"/>
  <c r="K36" i="4"/>
  <c r="J36" i="4"/>
  <c r="I45" i="4"/>
  <c r="B16" i="2"/>
  <c r="B15" i="3" s="1"/>
  <c r="D17" i="2"/>
  <c r="J15" i="4"/>
  <c r="E8" i="5"/>
  <c r="K34" i="4"/>
  <c r="J34" i="4"/>
  <c r="J45" i="4"/>
  <c r="B12" i="5"/>
  <c r="D16" i="4"/>
  <c r="J11" i="4"/>
  <c r="K11" i="4"/>
  <c r="B15" i="5"/>
  <c r="B6" i="5"/>
  <c r="B14" i="5"/>
  <c r="G15" i="2"/>
  <c r="J9" i="4"/>
  <c r="I21" i="4"/>
  <c r="K23" i="4"/>
  <c r="J23" i="4"/>
  <c r="G33" i="4"/>
  <c r="B47" i="4"/>
  <c r="B5" i="5" s="1"/>
  <c r="K38" i="4"/>
  <c r="C8" i="2"/>
  <c r="G5" i="2"/>
  <c r="C5" i="3"/>
  <c r="H15" i="2"/>
  <c r="J5" i="4"/>
  <c r="K5" i="4"/>
  <c r="F16" i="4"/>
  <c r="D13" i="5"/>
  <c r="D26" i="4"/>
  <c r="G38" i="4"/>
  <c r="C47" i="4"/>
  <c r="G47" i="4" s="1"/>
  <c r="D7" i="5"/>
  <c r="G9" i="2"/>
  <c r="C16" i="2"/>
  <c r="I15" i="2"/>
  <c r="J15" i="2"/>
  <c r="C14" i="3"/>
  <c r="I30" i="4"/>
  <c r="H38" i="4"/>
  <c r="E7" i="5"/>
  <c r="E5" i="3"/>
  <c r="E8" i="2"/>
  <c r="E12" i="5"/>
  <c r="I5" i="2"/>
  <c r="E16" i="3"/>
  <c r="H11" i="2"/>
  <c r="J12" i="2"/>
  <c r="D14" i="3"/>
  <c r="H5" i="4"/>
  <c r="H8" i="4"/>
  <c r="G10" i="4"/>
  <c r="F26" i="4"/>
  <c r="K17" i="4"/>
  <c r="J17" i="4"/>
  <c r="F13" i="5"/>
  <c r="G20" i="4"/>
  <c r="C7" i="5"/>
  <c r="C30" i="4"/>
  <c r="G28" i="4"/>
  <c r="F9" i="5"/>
  <c r="K30" i="4"/>
  <c r="J30" i="4"/>
  <c r="F48" i="4"/>
  <c r="I11" i="2"/>
  <c r="G14" i="2"/>
  <c r="H14" i="2"/>
  <c r="G22" i="2"/>
  <c r="I5" i="4"/>
  <c r="H20" i="4"/>
  <c r="D30" i="4"/>
  <c r="H28" i="4"/>
  <c r="F8" i="5"/>
  <c r="K11" i="2"/>
  <c r="J11" i="2"/>
  <c r="G20" i="2"/>
  <c r="I28" i="4"/>
  <c r="B9" i="5"/>
  <c r="K28" i="4"/>
  <c r="J28" i="4"/>
  <c r="E17" i="2"/>
  <c r="H20" i="2"/>
  <c r="F37" i="4"/>
  <c r="H39" i="4"/>
  <c r="D47" i="4"/>
  <c r="D9" i="5"/>
  <c r="C12" i="5"/>
  <c r="B16" i="4"/>
  <c r="B27" i="4" s="1"/>
  <c r="I39" i="4"/>
  <c r="E9" i="5"/>
  <c r="J41" i="4"/>
  <c r="K41" i="4"/>
  <c r="G44" i="4"/>
  <c r="D12" i="5"/>
  <c r="H33" i="4"/>
  <c r="H22" i="4"/>
  <c r="I33" i="4"/>
  <c r="H40" i="4"/>
  <c r="I10" i="4"/>
  <c r="I22" i="4"/>
  <c r="J33" i="4"/>
  <c r="I40" i="4"/>
  <c r="I46" i="4"/>
  <c r="K10" i="4"/>
  <c r="J10" i="4"/>
  <c r="G32" i="4"/>
  <c r="K40" i="4"/>
  <c r="J40" i="4"/>
  <c r="K46" i="4"/>
  <c r="J46" i="4"/>
  <c r="H32" i="4"/>
  <c r="K10" i="2"/>
  <c r="J10" i="2"/>
  <c r="F14" i="3"/>
  <c r="B13" i="5"/>
  <c r="J29" i="4"/>
  <c r="K29" i="4"/>
  <c r="C8" i="5"/>
  <c r="I22" i="2"/>
  <c r="H10" i="4"/>
  <c r="H46" i="4"/>
  <c r="K22" i="2"/>
  <c r="J22" i="2"/>
  <c r="K35" i="4"/>
  <c r="J35" i="4"/>
  <c r="H10" i="2"/>
  <c r="K22" i="4"/>
  <c r="J22" i="4"/>
  <c r="I10" i="2"/>
  <c r="B37" i="4"/>
  <c r="G9" i="4"/>
  <c r="G15" i="4"/>
  <c r="C13" i="5"/>
  <c r="G21" i="4"/>
  <c r="D8" i="5"/>
  <c r="H34" i="4"/>
  <c r="G39" i="4"/>
  <c r="G45" i="4"/>
  <c r="C37" i="4"/>
  <c r="B8" i="5"/>
  <c r="D37" i="4"/>
  <c r="E37" i="4"/>
  <c r="H17" i="2" l="1"/>
  <c r="D18" i="2"/>
  <c r="D6" i="3"/>
  <c r="I16" i="4"/>
  <c r="E27" i="4"/>
  <c r="G8" i="2"/>
  <c r="H8" i="2"/>
  <c r="B49" i="4"/>
  <c r="I8" i="2"/>
  <c r="C5" i="5"/>
  <c r="D10" i="5"/>
  <c r="H37" i="4"/>
  <c r="C15" i="5"/>
  <c r="F27" i="4"/>
  <c r="K16" i="4"/>
  <c r="J16" i="4"/>
  <c r="K8" i="2"/>
  <c r="J8" i="2"/>
  <c r="G16" i="4"/>
  <c r="C27" i="4"/>
  <c r="C6" i="5"/>
  <c r="C13" i="3"/>
  <c r="C19" i="2"/>
  <c r="C7" i="3"/>
  <c r="E18" i="2"/>
  <c r="I17" i="2"/>
  <c r="E6" i="3"/>
  <c r="C15" i="3"/>
  <c r="G16" i="2"/>
  <c r="E15" i="3"/>
  <c r="I16" i="2"/>
  <c r="F15" i="5"/>
  <c r="F5" i="5"/>
  <c r="F14" i="5"/>
  <c r="J26" i="4"/>
  <c r="F6" i="5"/>
  <c r="K26" i="4"/>
  <c r="H16" i="4"/>
  <c r="D27" i="4"/>
  <c r="C14" i="5"/>
  <c r="E10" i="5"/>
  <c r="I37" i="4"/>
  <c r="B6" i="3"/>
  <c r="B18" i="2"/>
  <c r="B10" i="5"/>
  <c r="E48" i="4"/>
  <c r="I48" i="4" s="1"/>
  <c r="F10" i="5"/>
  <c r="J37" i="4"/>
  <c r="K37" i="4"/>
  <c r="D48" i="4"/>
  <c r="D11" i="5"/>
  <c r="H30" i="4"/>
  <c r="K47" i="4"/>
  <c r="K17" i="2"/>
  <c r="J17" i="2"/>
  <c r="F6" i="3"/>
  <c r="F18" i="2"/>
  <c r="B7" i="5"/>
  <c r="K48" i="4"/>
  <c r="H26" i="4"/>
  <c r="D5" i="5"/>
  <c r="D15" i="5"/>
  <c r="D14" i="5"/>
  <c r="D6" i="5"/>
  <c r="K16" i="2"/>
  <c r="H47" i="4"/>
  <c r="G17" i="2"/>
  <c r="E15" i="5"/>
  <c r="E5" i="5"/>
  <c r="E14" i="5"/>
  <c r="E6" i="5"/>
  <c r="I26" i="4"/>
  <c r="G37" i="4"/>
  <c r="C48" i="4"/>
  <c r="G48" i="4" s="1"/>
  <c r="C9" i="5"/>
  <c r="G30" i="4"/>
  <c r="D15" i="3"/>
  <c r="H16" i="2"/>
  <c r="I47" i="4"/>
  <c r="F7" i="3" l="1"/>
  <c r="F19" i="2"/>
  <c r="F13" i="3"/>
  <c r="K18" i="2"/>
  <c r="J18" i="2"/>
  <c r="C49" i="4"/>
  <c r="G49" i="4" s="1"/>
  <c r="G27" i="4"/>
  <c r="D49" i="4"/>
  <c r="H49" i="4" s="1"/>
  <c r="H27" i="4"/>
  <c r="C10" i="5"/>
  <c r="H48" i="4"/>
  <c r="B13" i="3"/>
  <c r="B19" i="2"/>
  <c r="B7" i="3"/>
  <c r="E49" i="4"/>
  <c r="I27" i="4"/>
  <c r="E11" i="5"/>
  <c r="E19" i="2"/>
  <c r="E7" i="3"/>
  <c r="E13" i="3"/>
  <c r="I18" i="2"/>
  <c r="F49" i="4"/>
  <c r="J27" i="4"/>
  <c r="K27" i="4"/>
  <c r="F11" i="5"/>
  <c r="D19" i="2"/>
  <c r="D13" i="3"/>
  <c r="D7" i="3"/>
  <c r="H18" i="2"/>
  <c r="C10" i="3"/>
  <c r="G19" i="2"/>
  <c r="C21" i="2"/>
  <c r="C11" i="5"/>
  <c r="J48" i="4"/>
  <c r="G18" i="2"/>
  <c r="C8" i="3" l="1"/>
  <c r="C23" i="2"/>
  <c r="C11" i="3"/>
  <c r="C12" i="3"/>
  <c r="K49" i="4"/>
  <c r="J49" i="4"/>
  <c r="E10" i="3"/>
  <c r="I19" i="2"/>
  <c r="E21" i="2"/>
  <c r="I49" i="4"/>
  <c r="D21" i="2"/>
  <c r="H19" i="2"/>
  <c r="D10" i="3"/>
  <c r="F21" i="2"/>
  <c r="K19" i="2"/>
  <c r="J19" i="2"/>
  <c r="F10" i="3"/>
  <c r="B10" i="3"/>
  <c r="B21" i="2"/>
  <c r="D8" i="3" l="1"/>
  <c r="H21" i="2"/>
  <c r="D23" i="2"/>
  <c r="D11" i="3"/>
  <c r="D12" i="3"/>
  <c r="I21" i="2"/>
  <c r="E8" i="3"/>
  <c r="E11" i="3"/>
  <c r="E23" i="2"/>
  <c r="E12" i="3"/>
  <c r="B8" i="3"/>
  <c r="B23" i="2"/>
  <c r="B12" i="3"/>
  <c r="B11" i="3"/>
  <c r="C25" i="2"/>
  <c r="C9" i="3"/>
  <c r="G21" i="2"/>
  <c r="F8" i="3"/>
  <c r="F23" i="2"/>
  <c r="K21" i="2"/>
  <c r="J21" i="2"/>
  <c r="F11" i="3"/>
  <c r="F12" i="3"/>
  <c r="B25" i="2" l="1"/>
  <c r="B9" i="3"/>
  <c r="E25" i="2"/>
  <c r="I25" i="2" s="1"/>
  <c r="E17" i="3"/>
  <c r="E9" i="3"/>
  <c r="I23" i="2"/>
  <c r="G23" i="2"/>
  <c r="C17" i="3"/>
  <c r="G25" i="2"/>
  <c r="F17" i="3"/>
  <c r="K23" i="2"/>
  <c r="J23" i="2"/>
  <c r="F25" i="2"/>
  <c r="F9" i="3"/>
  <c r="D25" i="2"/>
  <c r="H25" i="2" s="1"/>
  <c r="D17" i="3"/>
  <c r="D9" i="3"/>
  <c r="H23" i="2"/>
  <c r="K25" i="2" l="1"/>
  <c r="J25" i="2"/>
</calcChain>
</file>

<file path=xl/sharedStrings.xml><?xml version="1.0" encoding="utf-8"?>
<sst xmlns="http://schemas.openxmlformats.org/spreadsheetml/2006/main" count="796" uniqueCount="424">
  <si>
    <t>00. RAW DATA – SUZLON ENERGY LIMITED (FY22–FY26)</t>
  </si>
  <si>
    <t>All amounts in ₹ Crore unless otherwise stated. Financial figures are from audited standalone Ind AS financial statements. FY24 uses the restated comparative disclosed in the FY25 Annual Report (Ind AS 103 business-combination restatement).</t>
  </si>
  <si>
    <t>Statement</t>
  </si>
  <si>
    <t>Raw-data line item</t>
  </si>
  <si>
    <t>FY22</t>
  </si>
  <si>
    <t>FY23</t>
  </si>
  <si>
    <t>FY24</t>
  </si>
  <si>
    <t>FY25</t>
  </si>
  <si>
    <t>FY26</t>
  </si>
  <si>
    <t>Source / Page</t>
  </si>
  <si>
    <t>Income Statement</t>
  </si>
  <si>
    <t>Revenue from operations</t>
  </si>
  <si>
    <t>FY22 AR p.110; FY23 AR p.207; FY24 restated in FY25 AR p.256; FY25 comparative in FY26 AR p.282; FY26 AR p.282</t>
  </si>
  <si>
    <t>Other operating income</t>
  </si>
  <si>
    <t>Same audited P&amp;L pages as above</t>
  </si>
  <si>
    <t>Finance income</t>
  </si>
  <si>
    <t>Cost of raw materials, components and services consumed</t>
  </si>
  <si>
    <t>Purchase of stock-in-trade</t>
  </si>
  <si>
    <t>Changes in inventories of finished goods, semi-finished goods and WIP</t>
  </si>
  <si>
    <t>Employee benefits expense</t>
  </si>
  <si>
    <t>Finance costs</t>
  </si>
  <si>
    <t>Depreciation &amp; amortisation expense</t>
  </si>
  <si>
    <t>Other expenses</t>
  </si>
  <si>
    <t>Exceptional items (reported sign)</t>
  </si>
  <si>
    <t>Same audited P&amp;L pages as above; negative amount represents exceptional gain under the P&amp;L presentation</t>
  </si>
  <si>
    <t>Total income tax expense / (credit)</t>
  </si>
  <si>
    <t>Same audited P&amp;L pages as above; tax credit shown as negative expense</t>
  </si>
  <si>
    <t>Other comprehensive income / (loss), net of tax</t>
  </si>
  <si>
    <t>Profit before exceptional items and tax (audit cross-check)</t>
  </si>
  <si>
    <t>Audited P&amp;L cross-check</t>
  </si>
  <si>
    <t>Profit / (loss) before tax (audit cross-check)</t>
  </si>
  <si>
    <t>Profit for the year (PAT; audit cross-check)</t>
  </si>
  <si>
    <t>Total comprehensive income (audit cross-check)</t>
  </si>
  <si>
    <t>Balance Sheet</t>
  </si>
  <si>
    <t>Property, plant &amp; equipment</t>
  </si>
  <si>
    <t>FY22 AR p.111; FY23 AR p.206; FY24 restated in FY25 AR p.254; FY25/FY26 comparative/current in FY26 AR p.280</t>
  </si>
  <si>
    <t>Right-of-use assets</t>
  </si>
  <si>
    <t>Capital work-in-progress</t>
  </si>
  <si>
    <t>Intangible assets</t>
  </si>
  <si>
    <t>Intangible assets under development</t>
  </si>
  <si>
    <t>Non-current investments</t>
  </si>
  <si>
    <t>Non-current loans</t>
  </si>
  <si>
    <t>Other non-current financial assets (incl. non-current trade receivables where applicable)</t>
  </si>
  <si>
    <t>Deferred tax assets (net)</t>
  </si>
  <si>
    <t>Non-current tax assets</t>
  </si>
  <si>
    <t>Other non-current assets (incl. investment properties)</t>
  </si>
  <si>
    <t>Inventories</t>
  </si>
  <si>
    <t>Current investments</t>
  </si>
  <si>
    <t>Trade receivables</t>
  </si>
  <si>
    <t>Cash &amp; cash equivalents</t>
  </si>
  <si>
    <t>Bank balances other than cash &amp; cash equivalents</t>
  </si>
  <si>
    <t>Current loans</t>
  </si>
  <si>
    <t>Other current financial assets</t>
  </si>
  <si>
    <t>Other current assets (incl. current tax assets)</t>
  </si>
  <si>
    <t>Assets held for sale</t>
  </si>
  <si>
    <t>Equity share capital</t>
  </si>
  <si>
    <t>Other equity</t>
  </si>
  <si>
    <t>Non-current borrowings</t>
  </si>
  <si>
    <t>Non-current lease liabilities</t>
  </si>
  <si>
    <t>Other non-current financial liabilities</t>
  </si>
  <si>
    <t>Non-current provisions</t>
  </si>
  <si>
    <t>Other non-current liabilities</t>
  </si>
  <si>
    <t>Other non-current / deferred incentives</t>
  </si>
  <si>
    <t>Current borrowings</t>
  </si>
  <si>
    <t>Current lease liabilities</t>
  </si>
  <si>
    <t>Trade payables – MSME</t>
  </si>
  <si>
    <t>Trade payables – others</t>
  </si>
  <si>
    <t>Other current financial liabilities</t>
  </si>
  <si>
    <t>Current provisions</t>
  </si>
  <si>
    <t>Current tax liabilities</t>
  </si>
  <si>
    <t>Other current liabilities</t>
  </si>
  <si>
    <t>Contract liabilities</t>
  </si>
  <si>
    <t>01. 5-Year Income Statement – Suzlon Energy Limited (Standalone)</t>
  </si>
  <si>
    <t>Audited standalone Ind AS financial statements; FY24 is the restated comparative in the FY25 Annual Report.</t>
  </si>
  <si>
    <t>Line item</t>
  </si>
  <si>
    <t>YoY FY23</t>
  </si>
  <si>
    <t>YoY FY24</t>
  </si>
  <si>
    <t>YoY FY25</t>
  </si>
  <si>
    <t>YoY FY26</t>
  </si>
  <si>
    <t>5-Year Trend</t>
  </si>
  <si>
    <t>Total income</t>
  </si>
  <si>
    <t>Total expenses</t>
  </si>
  <si>
    <t>EBITDA / Operating profit before D&amp;A</t>
  </si>
  <si>
    <t>EBIT / Operating profit</t>
  </si>
  <si>
    <t>Profit before exceptional items &amp; tax</t>
  </si>
  <si>
    <t>Exceptional items</t>
  </si>
  <si>
    <t>Profit / (loss) before tax</t>
  </si>
  <si>
    <t>Total tax expense / (credit)</t>
  </si>
  <si>
    <t>Profit / (loss) for the year (PAT)</t>
  </si>
  <si>
    <t>Total comprehensive income / (loss)</t>
  </si>
  <si>
    <t>02. Income Statement Ratios – Suzlon Energy Limited</t>
  </si>
  <si>
    <t>Ratios are formula-driven from the audited standalone income statement.</t>
  </si>
  <si>
    <t>Ratio</t>
  </si>
  <si>
    <t>Interpretation / Analysis</t>
  </si>
  <si>
    <t>Revenue growth (YoY)</t>
  </si>
  <si>
    <t>Strong acceleration; revenue scaled sharply in FY25–FY26.</t>
  </si>
  <si>
    <t>EBITDA margin</t>
  </si>
  <si>
    <t>Operating margin improved materially from FY22 losses to &gt;18% in FY26.</t>
  </si>
  <si>
    <t>EBIT margin</t>
  </si>
  <si>
    <t>EBIT margin recovered from negative FY22 to 17.5% in FY26.</t>
  </si>
  <si>
    <t>PBT margin</t>
  </si>
  <si>
    <t>PBT margin turned positive after FY22 and strengthened strongly by FY26.</t>
  </si>
  <si>
    <t>PAT margin</t>
  </si>
  <si>
    <t>PAT margin is volatile because of exceptional gains/losses and tax credits.</t>
  </si>
  <si>
    <t>Finance income / PBT before exceptional</t>
  </si>
  <si>
    <t>Finance income is modest relative to operating earnings; FY23 was unusually high.</t>
  </si>
  <si>
    <t>Exceptional items / PBT</t>
  </si>
  <si>
    <t>Exceptional items materially distorted FY23, FY24, FY25 and FY26 PBT.</t>
  </si>
  <si>
    <t>Effective tax rate</t>
  </si>
  <si>
    <t>Tax rate is unusual because FY25–FY26 tax is largely deferred-tax credit.</t>
  </si>
  <si>
    <t>Interest coverage (EBIT / finance cost)</t>
  </si>
  <si>
    <t>Coverage improved from negative FY22 to a healthy level, though FY26 finance cost rose.</t>
  </si>
  <si>
    <t>Finance cost / Revenue</t>
  </si>
  <si>
    <t>Finance-cost burden fell through FY24, then rose again in FY26.</t>
  </si>
  <si>
    <t>Operating expenses / Revenue</t>
  </si>
  <si>
    <t>Operating-cost intensity declined as scale and margins improved.</t>
  </si>
  <si>
    <t>D&amp;A / Revenue</t>
  </si>
  <si>
    <t>D&amp;A intensity has remained relatively low versus revenue.</t>
  </si>
  <si>
    <t>PAT growth (YoY)</t>
  </si>
  <si>
    <t>PAT growth is highly distorted by exceptional items and tax credits.</t>
  </si>
  <si>
    <t>03. 5-Year Balance Sheet – Suzlon Energy Limited (Standalone)</t>
  </si>
  <si>
    <t>FY24 uses the restated comparative disclosed in the FY25 Annual Report. Investment properties are included within the 'other non-current assets' bucket for structural comparability.</t>
  </si>
  <si>
    <t>Analysis / Observation</t>
  </si>
  <si>
    <t>Other non-current financial assets</t>
  </si>
  <si>
    <t>Total non-current assets</t>
  </si>
  <si>
    <t>Total current assets</t>
  </si>
  <si>
    <t>TOTAL ASSETS</t>
  </si>
  <si>
    <t>Total equity</t>
  </si>
  <si>
    <t>Total non-current liabilities</t>
  </si>
  <si>
    <t>Total current liabilities</t>
  </si>
  <si>
    <t>TOTAL EQUITY &amp; LIABILITIES</t>
  </si>
  <si>
    <t>Balance check</t>
  </si>
  <si>
    <t>04. Balance Sheet Ratios – Suzlon Energy Limited</t>
  </si>
  <si>
    <t>Formula-driven ratios using the audited standalone balance sheet.</t>
  </si>
  <si>
    <t>Current ratio</t>
  </si>
  <si>
    <t>Liquidity strengthened as cash, receivables and working capital expanded, but FY26 current liabilities also rose.</t>
  </si>
  <si>
    <t>Quick ratio</t>
  </si>
  <si>
    <t>Quick liquidity improved from a very weak base in FY22; still monitor working-capital intensity.</t>
  </si>
  <si>
    <t>Cash ratio</t>
  </si>
  <si>
    <t>Cash-plus-bank liquidity is substantially stronger than FY22 despite FY26 lease/current obligations.</t>
  </si>
  <si>
    <t>Debt-to-equity</t>
  </si>
  <si>
    <t>Debt-to-equity fell sharply after FY23 and remains low because equity turned strongly positive.</t>
  </si>
  <si>
    <t>Lease liabilities / Equity</t>
  </si>
  <si>
    <t>Lease burden is rising again in FY26, driven by business expansion and right-of-use assets.</t>
  </si>
  <si>
    <t>Total liabilities / Assets</t>
  </si>
  <si>
    <t>Liability intensity fell materially as equity rebuilt, although FY26 lease/current liabilities increased.</t>
  </si>
  <si>
    <t>Equity ratio</t>
  </si>
  <si>
    <t>Equity ratio moved from negative in FY22 to above 50% by FY26.</t>
  </si>
  <si>
    <t>Receivables / Revenue</t>
  </si>
  <si>
    <t>Receivables increased with scale; FY26 receivables are significant and deserve collection monitoring.</t>
  </si>
  <si>
    <t>Inventory / Revenue</t>
  </si>
  <si>
    <t>Inventory grew with the business; working-capital discipline remains important.</t>
  </si>
  <si>
    <t>Working capital (₹ Crore)</t>
  </si>
  <si>
    <t>Working capital turned strongly positive and expanded in FY25–FY26.</t>
  </si>
  <si>
    <t>Working capital / Revenue</t>
  </si>
  <si>
    <t>Working capital as a share of revenue remains positive and supports growth, but ties up capital.</t>
  </si>
  <si>
    <t>05. Five-Year Red Flag Analysis – Suzlon Energy Limited</t>
  </si>
  <si>
    <t>Assessment combines audited financial statements, notes, BRSR and MD&amp;A. Severity is analytical, not an audit conclusion.</t>
  </si>
  <si>
    <t>Red Flag / Risk Area</t>
  </si>
  <si>
    <t>Severity</t>
  </si>
  <si>
    <t>Revenue quality</t>
  </si>
  <si>
    <t>High</t>
  </si>
  <si>
    <t>Low</t>
  </si>
  <si>
    <t>Medium</t>
  </si>
  <si>
    <t>Margin compression</t>
  </si>
  <si>
    <t>Other-income dependence</t>
  </si>
  <si>
    <t>Tax anomaly</t>
  </si>
  <si>
    <t>Interest coverage</t>
  </si>
  <si>
    <t>Debt / lease burden</t>
  </si>
  <si>
    <t>Receivables build-up</t>
  </si>
  <si>
    <t>Inventory build-up</t>
  </si>
  <si>
    <t>Liquidity stress</t>
  </si>
  <si>
    <t>Weak equity</t>
  </si>
  <si>
    <t>Cash conversion</t>
  </si>
  <si>
    <t>Asset quality / capex</t>
  </si>
  <si>
    <t>Related-party transactions</t>
  </si>
  <si>
    <t>Contingent liabilities</t>
  </si>
  <si>
    <t>Auditor / accounting issue</t>
  </si>
  <si>
    <t>Going concern</t>
  </si>
  <si>
    <t>Governance / internal control</t>
  </si>
  <si>
    <t>Whistle-blower / ethics</t>
  </si>
  <si>
    <t>Other</t>
  </si>
  <si>
    <t>06. Five-Year ESG Analysis – Suzlon Energy Limited</t>
  </si>
  <si>
    <t>ESG metrics are taken from the BRSR/sustainability disclosures. Where a metric was not disclosed on a comparable basis, 'NR / not comparable' is used rather than inventing a number.</t>
  </si>
  <si>
    <t>Pillar</t>
  </si>
  <si>
    <t>Metric / Theme</t>
  </si>
  <si>
    <t>E</t>
  </si>
  <si>
    <t>Total energy consumption</t>
  </si>
  <si>
    <t>Reporting boundary/methodology changed materially after FY23; do not interpret the fall in FY24 as pure efficiency.</t>
  </si>
  <si>
    <t>Renewable energy consumption</t>
  </si>
  <si>
    <t>Renewable energy use rose strongly in FY25–FY26.</t>
  </si>
  <si>
    <t>Scope 1 emissions</t>
  </si>
  <si>
    <t>Scope 1 reduced 24.1% in FY26 vs FY25.</t>
  </si>
  <si>
    <t>Scope 2 emissions</t>
  </si>
  <si>
    <t>FY22 not separately comparable in the later BRSR presentation.</t>
  </si>
  <si>
    <t>Scope 3 emissions</t>
  </si>
  <si>
    <t>Major methodology/boundary change; FY23–FY26 figures are not directly comparable without category-level review.</t>
  </si>
  <si>
    <t>Scope 1+2 intensity</t>
  </si>
  <si>
    <t>Intensity improved sharply under the reported methodology.</t>
  </si>
  <si>
    <t>Water withdrawal</t>
  </si>
  <si>
    <t>Withdrawal rose in FY26; water-stress and water-positivity initiatives remain relevant.</t>
  </si>
  <si>
    <t>Water consumption</t>
  </si>
  <si>
    <t>FY24 consumption is not used here because the reported basis is not fully comparable.</t>
  </si>
  <si>
    <t>Waste / Zero Waste to Landfill</t>
  </si>
  <si>
    <t>NR</t>
  </si>
  <si>
    <t>90.14% achieved</t>
  </si>
  <si>
    <t>Progress toward 100% ZWTL by 2028</t>
  </si>
  <si>
    <t>Circularity and waste diversion improved; FY25 reported 90.14% ZWTL.</t>
  </si>
  <si>
    <t>Climate / net-zero target</t>
  </si>
  <si>
    <t>Net Zero Scope 1&amp;2 by 2035</t>
  </si>
  <si>
    <t>Net Zero Scope 1&amp;2 by 2035; Scope 3 by 2040</t>
  </si>
  <si>
    <t>Targets became more explicit and measurable.</t>
  </si>
  <si>
    <t>Biodiversity</t>
  </si>
  <si>
    <t>NR / qualitative</t>
  </si>
  <si>
    <t>Qualitative</t>
  </si>
  <si>
    <t>Renewable projects and lifecycle impacts are discussed; no single comparable five-year KPI.</t>
  </si>
  <si>
    <t>S</t>
  </si>
  <si>
    <t>Permanent employees</t>
  </si>
  <si>
    <t>FY26 increase reflects the SGSL amalgamation; not pure organic hiring.</t>
  </si>
  <si>
    <t>Women employees</t>
  </si>
  <si>
    <t>Target 10% by 2030</t>
  </si>
  <si>
    <t>231% growth over three years</t>
  </si>
  <si>
    <t>6.52% of employees; +72.61% YoY</t>
  </si>
  <si>
    <t>Gender representation is improving but remains below 10% 2030 target.</t>
  </si>
  <si>
    <t>Employee turnover</t>
  </si>
  <si>
    <t>N</t>
  </si>
  <si>
    <t>R</t>
  </si>
  <si>
    <t>Reported in BRSR</t>
  </si>
  <si>
    <t>Training</t>
  </si>
  <si>
    <t>BRSR training disclosures</t>
  </si>
  <si>
    <t>Skill development / ESG training</t>
  </si>
  <si>
    <t>100% employees provided skill-upgradation training</t>
  </si>
  <si>
    <t>Training coverage strengthened.</t>
  </si>
  <si>
    <t>Health &amp; safety</t>
  </si>
  <si>
    <t>FY22 LTIFR disclosed in BRSR</t>
  </si>
  <si>
    <t>Employee LTIFR 0.94; worker LTIFR 0.54 (FY23 table)</t>
  </si>
  <si>
    <t>Employee LTIFR 0.27; worker LTIFR disclosed</t>
  </si>
  <si>
    <t>BRSR safety indicators</t>
  </si>
  <si>
    <t>Safety systems strengthened; FY26 ESG highlights include 100% training/controls</t>
  </si>
  <si>
    <t>Safety reporting is improving but incidents require context by employee/worker category.</t>
  </si>
  <si>
    <t>Wellbeing</t>
  </si>
  <si>
    <t>DEIB / wellbeing</t>
  </si>
  <si>
    <t>Wellbeing measures and return-to-work programmes</t>
  </si>
  <si>
    <t>Qualitative improvement.</t>
  </si>
  <si>
    <t>CSR / community</t>
  </si>
  <si>
    <t>CSR/community programmes</t>
  </si>
  <si>
    <t>Community clean-power and rural initiatives</t>
  </si>
  <si>
    <t>SROI of ₹39.22 per ₹1 invested reported for need-based CSR interventions</t>
  </si>
  <si>
    <t>Increasing measurement of social return.</t>
  </si>
  <si>
    <t>Human rights / supply chain</t>
  </si>
  <si>
    <t>Supplier screening</t>
  </si>
  <si>
    <t>100% Class A suppliers sustainably sourced</t>
  </si>
  <si>
    <t>Human-rights target set</t>
  </si>
  <si>
    <t>Supplier Code / ESG assessments</t>
  </si>
  <si>
    <t>Human Rights Due Diligence across operations</t>
  </si>
  <si>
    <t>Governance of value chain strengthened.</t>
  </si>
  <si>
    <t>07. Five-Year MD&amp;A Analysis – Suzlon Energy Limited</t>
  </si>
  <si>
    <t>Captures the key discussion points from the five annual reports, with emphasis on drivers, risks, strategy, cash flow, ESG and outlook.</t>
  </si>
  <si>
    <t>MD&amp;A Area</t>
  </si>
  <si>
    <t>5-Year Change / Trend</t>
  </si>
  <si>
    <t>Business overview</t>
  </si>
  <si>
    <t>Wind turbine equipment + OMS; restructuring-driven recovery</t>
  </si>
  <si>
    <t>WTG, OMS and Foundry/Forge; 20 GW installed milestone</t>
  </si>
  <si>
    <t>Wind demand recovery; manufacturing and OMS scale</t>
  </si>
  <si>
    <t>Strong WTG growth; Renom acquisition and SGSL merger process</t>
  </si>
  <si>
    <t>Strong WTG/OMS scale; SGSL merger effective; project-division transfers</t>
  </si>
  <si>
    <t>Business shifted from restructuring/recovery to scale-led growth</t>
  </si>
  <si>
    <t>Core wind business is now the main growth engine, with OMS providing recurring revenue.</t>
  </si>
  <si>
    <t>Industry &amp; macro environment</t>
  </si>
  <si>
    <t>Post-COVID recovery; commodity/logistics inflation</t>
  </si>
  <si>
    <t>Renewables policy support; strong wind opportunity</t>
  </si>
  <si>
    <t>India wind capacity additions and policy support improved</t>
  </si>
  <si>
    <t>Wind tendering, domestic manufacturing and grid/renewable demand supportive</t>
  </si>
  <si>
    <t>India renewable build-out, transmission and wind demand remain strong</t>
  </si>
  <si>
    <t>Industry tailwinds strengthened</t>
  </si>
  <si>
    <t>Macro/policy support is a major positive, while execution and supply-chain risks remain.</t>
  </si>
  <si>
    <t>Revenue drivers</t>
  </si>
  <si>
    <t>Volumes pickup post restructuring</t>
  </si>
  <si>
    <t>WTG and OMS; revenue ₹3,538 Cr</t>
  </si>
  <si>
    <t>Restated revenue ₹5,834 Cr</t>
  </si>
  <si>
    <t>Revenue ₹10,162 Cr</t>
  </si>
  <si>
    <t>Revenue ₹15,054 Cr</t>
  </si>
  <si>
    <t>~3.8x FY22 revenue</t>
  </si>
  <si>
    <t>Growth is increasingly volume/order-execution driven rather than restructuring-only.</t>
  </si>
  <si>
    <t>Cost drivers</t>
  </si>
  <si>
    <t>Commodity/logistics inflation; finance costs high</t>
  </si>
  <si>
    <t>Raw material and finance costs weighed on margins</t>
  </si>
  <si>
    <t>Cost intensity improved</t>
  </si>
  <si>
    <t>Scale increased; raw material cost rose with volumes</t>
  </si>
  <si>
    <t>Raw material and other expenses rose with scale; finance cost also increased</t>
  </si>
  <si>
    <t>Margins expanded despite higher absolute costs</t>
  </si>
  <si>
    <t>Operating leverage is visible, but FY26 cost growth and finance cost require monitoring.</t>
  </si>
  <si>
    <t>Operating performance</t>
  </si>
  <si>
    <t>EBITDA ~₹132 Cr; EBIT negative</t>
  </si>
  <si>
    <t>EBITDA ₹252 Cr; exceptional gain drove PAT</t>
  </si>
  <si>
    <t>EBITDA ~₹958 Cr on restated basis</t>
  </si>
  <si>
    <t>EBITDA ₹1,664 Cr</t>
  </si>
  <si>
    <t>EBITDA ₹2,822 Cr</t>
  </si>
  <si>
    <t>Major operating turnaround</t>
  </si>
  <si>
    <t>Underlying operations improved far more steadily than reported PAT because exceptional items distorted earnings.</t>
  </si>
  <si>
    <t>Liquidity &amp; capital resources</t>
  </si>
  <si>
    <t>Negative equity; borrowings high</t>
  </si>
  <si>
    <t>Negative equity improved; debt still significant</t>
  </si>
  <si>
    <t>Equity turned positive; borrowings reduced</t>
  </si>
  <si>
    <t>Strong positive equity; borrowings largely eliminated</t>
  </si>
  <si>
    <t>Positive equity ₹9,828 Cr; lease liabilities rose</t>
  </si>
  <si>
    <t>Capital structure strengthened materially</t>
  </si>
  <si>
    <t>Balance-sheet repair is one of the clearest five-year improvements.</t>
  </si>
  <si>
    <t>Capital expenditure</t>
  </si>
  <si>
    <t>Controlled after restructuring</t>
  </si>
  <si>
    <t>Selective capex; R&amp;D focus</t>
  </si>
  <si>
    <t>Capex to support future demand</t>
  </si>
  <si>
    <t>Manufacturing/R&amp;D expansion and product development</t>
  </si>
  <si>
    <t>CWIP/PPE/ROU expanded to support growth</t>
  </si>
  <si>
    <t>Growth capex intensified</t>
  </si>
  <si>
    <t>Capex is growth-oriented; returns depend on order execution and capacity utilisation.</t>
  </si>
  <si>
    <t>Cash flow</t>
  </si>
  <si>
    <t>₹1,302 Cr consolidated operating cash flow; debt repayments</t>
  </si>
  <si>
    <t>Positive operating cash flow; financing restructuring</t>
  </si>
  <si>
    <t>Positive operating cash flow; capex outflow</t>
  </si>
  <si>
    <t>Improved operating cash generation</t>
  </si>
  <si>
    <t>Cash and bank balances expanded, with higher working capital needs</t>
  </si>
  <si>
    <t>Cash-generation capacity improved</t>
  </si>
  <si>
    <t>Working-capital discipline becomes more important as receivables/inventory scale.</t>
  </si>
  <si>
    <t>Risk factors</t>
  </si>
  <si>
    <t>Commodity, FX, policy, debt/restructuring</t>
  </si>
  <si>
    <t>Execution, FX, policy and commodity risks</t>
  </si>
  <si>
    <t>Demand, execution and policy risks</t>
  </si>
  <si>
    <t>Supply chain, competition, FX, policy and execution</t>
  </si>
  <si>
    <t>Demand, policy, FX, competition, restructuring and execution</t>
  </si>
  <si>
    <t>Risk profile shifted from solvency toward execution/growth</t>
  </si>
  <si>
    <t>Financial risk has reduced, but operating and execution risk is more important.</t>
  </si>
  <si>
    <t>Strategic priorities</t>
  </si>
  <si>
    <t>Restructure and stabilise</t>
  </si>
  <si>
    <t>Strengthen WTG/OMS and technology</t>
  </si>
  <si>
    <t>Scale India wind opportunity</t>
  </si>
  <si>
    <t>Renom/OMS, product innovation, ESG and capacity</t>
  </si>
  <si>
    <t>Scale WTG/OMS, integrate acquisitions, improve circularity and ESG</t>
  </si>
  <si>
    <t>Strategy became growth + ESG focused</t>
  </si>
  <si>
    <t>Suzlon moved from turnaround strategy to expansion and operational excellence.</t>
  </si>
  <si>
    <t>Human capital</t>
  </si>
  <si>
    <t>1,592 permanent employees</t>
  </si>
  <si>
    <t>1,451</t>
  </si>
  <si>
    <t>1,528</t>
  </si>
  <si>
    <t>1,680</t>
  </si>
  <si>
    <t>5,603 after SGSL amalgamation</t>
  </si>
  <si>
    <t>Large FY26 step-up mainly due merger</t>
  </si>
  <si>
    <t>Workforce data must be interpreted with structural changes in the group.</t>
  </si>
  <si>
    <t>ESG / sustainability commentary</t>
  </si>
  <si>
    <t>Early sustainability disclosures</t>
  </si>
  <si>
    <t>BRSR introduced; emissions/water/energy tracked</t>
  </si>
  <si>
    <t>Net-zero and ZWTL targets strengthened</t>
  </si>
  <si>
    <t>90.14% ZWTL; renewable energy +80.7%</t>
  </si>
  <si>
    <t>Scope 1 down 24.07%; renewable energy +22.79%; 6.52% women employees</t>
  </si>
  <si>
    <t>ESG reporting and assurance matured significantly</t>
  </si>
  <si>
    <t>ESG moved from narrative to quantified targets, BRSR Core assurance and operational KPIs.</t>
  </si>
  <si>
    <t>Internal controls / governance</t>
  </si>
  <si>
    <t>Restructuring-era governance focus</t>
  </si>
  <si>
    <t>Policies and BRSR governance</t>
  </si>
  <si>
    <t>BRSR and board oversight strengthened</t>
  </si>
  <si>
    <t>Audit trail/control disclosures; ESG assurance</t>
  </si>
  <si>
    <t>Enhanced board ESG oversight; BRSR Core reasonable assurance</t>
  </si>
  <si>
    <t>Governance disclosure became more detailed</t>
  </si>
  <si>
    <t>Restatements and business combinations make note-level review important.</t>
  </si>
  <si>
    <t>Outlook</t>
  </si>
  <si>
    <t>Recovery and industry revival</t>
  </si>
  <si>
    <t>Growth opportunity in Indian wind</t>
  </si>
  <si>
    <t>Demand recovery and technology-led growth</t>
  </si>
  <si>
    <t>Strong order/tender pipeline and manufacturing scale</t>
  </si>
  <si>
    <t>Large growth opportunity with capacity, products and services</t>
  </si>
  <si>
    <t>Positive outlook</t>
  </si>
  <si>
    <t>Outlook is constructive, but depends on policy, grid, execution and supply chain.</t>
  </si>
  <si>
    <t>Key uncertainties / sensitivities</t>
  </si>
  <si>
    <t>Debt, FX, commodity and policy</t>
  </si>
  <si>
    <t>Execution, demand, commodity, FX</t>
  </si>
  <si>
    <t>Policy/tender timing and execution</t>
  </si>
  <si>
    <t>Supply chain, customer concentration, FX</t>
  </si>
  <si>
    <t>Competition, FX, policy, execution and restructuring</t>
  </si>
  <si>
    <t>Financial uncertainty down; operating uncertainty remains</t>
  </si>
  <si>
    <t>Watch cash conversion, receivables, lease costs, and exceptional/one-off items.</t>
  </si>
  <si>
    <t>Guidance vs actual</t>
  </si>
  <si>
    <t>Recovery targets broadly supported</t>
  </si>
  <si>
    <t>Revenue/PAT heavily affected by exceptional items</t>
  </si>
  <si>
    <t>Operating improvement visible</t>
  </si>
  <si>
    <t>Strong growth exceeded earlier scale</t>
  </si>
  <si>
    <t>FY26 revenue and EBITDA growth were very strong</t>
  </si>
  <si>
    <t>Operational guidance broadly validated</t>
  </si>
  <si>
    <t>Use EBITDA/EBIT and order execution rather than PAT alone to judge performance.</t>
  </si>
  <si>
    <t>Other material MD&amp;A point</t>
  </si>
  <si>
    <t>Restructuring and debt reduction</t>
  </si>
  <si>
    <t>20 GW milestone; exceptional gain</t>
  </si>
  <si>
    <t>QIP/rights issue and restatement later affected comparability</t>
  </si>
  <si>
    <t>Renom and SGSL; project division restructuring</t>
  </si>
  <si>
    <t>SGSL merger and project-division transfers effective</t>
  </si>
  <si>
    <t>Structural transactions complicate year-on-year comparability</t>
  </si>
  <si>
    <t>Always reconcile MD&amp;A with Notes to Accounts before concluding on trends.</t>
  </si>
  <si>
    <t>08. SOURCES, BASIS &amp; IMPORTANT NOTES</t>
  </si>
  <si>
    <t>Company</t>
  </si>
  <si>
    <t>Suzlon Energy Limited</t>
  </si>
  <si>
    <t>Analysis period</t>
  </si>
  <si>
    <t>FY2021-22 to FY2025-26</t>
  </si>
  <si>
    <t>Financial statement basis</t>
  </si>
  <si>
    <t>Standalone audited Ind AS financial statements</t>
  </si>
  <si>
    <t>Annual Report</t>
  </si>
  <si>
    <t>Official Suzlon FY2021-22 Annual Report</t>
  </si>
  <si>
    <t>https://www.suzlon.com/pdf/investor/financial-reports-presentations/2021-22/fourth-quarter/Annual_Report-FY22-2021-2022.pdf</t>
  </si>
  <si>
    <t>Official Suzlon FY2022-23 Annual Report</t>
  </si>
  <si>
    <t>https://www.suzlon.com/pdf/investor/financial-reports-presentations/2022-23/fourth-quarter/Annual_Report_22-23.pdf</t>
  </si>
  <si>
    <t>Official Suzlon FY2023-24 Annual Report</t>
  </si>
  <si>
    <t>https://www.suzlon.com/pdf/investor/financial-reports-presentations/2023-24/fourth-quarter/Annual_Report_2023-20241.pdf</t>
  </si>
  <si>
    <t>Official Suzlon FY2024-25 Annual Report</t>
  </si>
  <si>
    <t>https://www.suzlon.com/pdf/investor/financial-reports-presentations/2024-25/fourth-quarter/Annual_Report_2024-25.pdf</t>
  </si>
  <si>
    <t>Official Suzlon FY2025-26 Annual Report</t>
  </si>
  <si>
    <t>https://www.suzlon.com/pdf/investor/financial-reports-presentations/2025-26/fourth-quarter/Annual-Report.pdf</t>
  </si>
  <si>
    <t>Key audit / accounting note</t>
  </si>
  <si>
    <t>FY24 was restated in the FY25 report under Ind AS 103. Do not mix FY24 numbers from the FY24 standalone statement with the restated FY24 comparative used here.</t>
  </si>
  <si>
    <t>Key red flag</t>
  </si>
  <si>
    <t>Exceptional items and deferred-tax credits materially affect reported PAT; operating EBITDA/EBIT are more useful for underlying performance.</t>
  </si>
  <si>
    <t>Key ESG note</t>
  </si>
  <si>
    <t>Scope 3 and energy/water metrics have reporting-boundary or methodology changes across years; compare only after reading the BRSR definitions.</t>
  </si>
  <si>
    <t>Key structural note</t>
  </si>
  <si>
    <t>FY26 workforce and balance-sheet changes are affected by the SGSL amalgamation and project-division transfers.</t>
  </si>
  <si>
    <t>**AI Collaboration Disclaimer:** AI tools were used as a collaborators to assist with spreadsheet structure, formula checking, interpretation of financial trends, and identification of key discussion points. Financial figures were taken and cross-checked from Suzlon Energy Limited's audited Annual Reports.</t>
  </si>
  <si>
    <t xml:space="preserve">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</si>
</sst>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[Red]\-0.0%"/>
    <numFmt numFmtId="165" formatCode="0.00\x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i/>
      <sz val="12"/>
      <color rgb="FF666666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AF2F8"/>
      </patternFill>
    </fill>
    <fill>
      <patternFill patternType="solid">
        <fgColor rgb="FFEAF2F8"/>
        <bgColor rgb="FFD9EAF7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0" fontId="4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40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40" fontId="6" fillId="5" borderId="2" xfId="0" applyNumberFormat="1" applyFont="1" applyFill="1" applyBorder="1" applyAlignment="1">
      <alignment horizontal="left" vertical="top" wrapText="1"/>
    </xf>
    <xf numFmtId="164" fontId="6" fillId="5" borderId="2" xfId="0" applyNumberFormat="1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40" fontId="2" fillId="5" borderId="0" xfId="0" applyNumberFormat="1" applyFont="1" applyFill="1" applyAlignment="1">
      <alignment horizontal="left" vertical="top" wrapText="1"/>
    </xf>
    <xf numFmtId="164" fontId="2" fillId="5" borderId="0" xfId="0" applyNumberFormat="1" applyFont="1" applyFill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40" fontId="2" fillId="5" borderId="2" xfId="0" applyNumberFormat="1" applyFont="1" applyFill="1" applyBorder="1" applyAlignment="1">
      <alignment horizontal="left" vertical="top" wrapText="1"/>
    </xf>
    <xf numFmtId="164" fontId="2" fillId="5" borderId="2" xfId="0" applyNumberFormat="1" applyFont="1" applyFill="1" applyBorder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D9E1F2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"/>
  <sheetViews>
    <sheetView showGridLines="0" zoomScaleNormal="100" workbookViewId="0">
      <pane xSplit="2" ySplit="4" topLeftCell="C52" activePane="bottomRight" state="frozen"/>
      <selection pane="topRight" activeCell="C1" sqref="C1"/>
      <selection pane="bottomLeft" activeCell="A5" sqref="A5"/>
      <selection pane="bottomRight" activeCell="B59" sqref="B59"/>
    </sheetView>
  </sheetViews>
  <sheetFormatPr defaultColWidth="8.88671875" defaultRowHeight="14.25" customHeight="1" x14ac:dyDescent="0.3"/>
  <cols>
    <col min="1" max="1" width="18" style="4" customWidth="1"/>
    <col min="2" max="2" width="59" style="4" bestFit="1" customWidth="1"/>
    <col min="3" max="7" width="14" style="4" customWidth="1"/>
    <col min="8" max="8" width="72" style="4" customWidth="1"/>
    <col min="9" max="10" width="8.88671875" style="4" customWidth="1"/>
    <col min="11" max="16384" width="8.88671875" style="4"/>
  </cols>
  <sheetData>
    <row r="1" spans="1:8" ht="21" customHeight="1" x14ac:dyDescent="0.3">
      <c r="A1" s="28" t="s">
        <v>0</v>
      </c>
      <c r="B1" s="27"/>
      <c r="C1" s="27"/>
      <c r="D1" s="27"/>
      <c r="E1" s="27"/>
      <c r="F1" s="27"/>
      <c r="G1" s="27"/>
      <c r="H1" s="27"/>
    </row>
    <row r="2" spans="1:8" ht="15" customHeight="1" x14ac:dyDescent="0.3">
      <c r="A2" s="26" t="s">
        <v>1</v>
      </c>
      <c r="B2" s="27"/>
      <c r="C2" s="27"/>
      <c r="D2" s="27"/>
      <c r="E2" s="27"/>
      <c r="F2" s="27"/>
      <c r="G2" s="27"/>
      <c r="H2" s="27"/>
    </row>
    <row r="3" spans="1:8" ht="14.4" customHeight="1" x14ac:dyDescent="0.3"/>
    <row r="4" spans="1:8" ht="14.2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42.75" customHeight="1" x14ac:dyDescent="0.3">
      <c r="A5" s="5" t="s">
        <v>10</v>
      </c>
      <c r="B5" s="6" t="s">
        <v>11</v>
      </c>
      <c r="C5" s="7">
        <v>3975.41</v>
      </c>
      <c r="D5" s="7">
        <v>3538.14</v>
      </c>
      <c r="E5" s="7">
        <v>5834.35</v>
      </c>
      <c r="F5" s="7">
        <v>10161.6</v>
      </c>
      <c r="G5" s="7">
        <v>15053.58</v>
      </c>
      <c r="H5" s="8" t="s">
        <v>12</v>
      </c>
    </row>
    <row r="6" spans="1:8" ht="42.75" customHeight="1" x14ac:dyDescent="0.3">
      <c r="A6" s="5" t="s">
        <v>10</v>
      </c>
      <c r="B6" s="6" t="s">
        <v>13</v>
      </c>
      <c r="C6" s="7">
        <v>64.63</v>
      </c>
      <c r="D6" s="7">
        <v>52.3</v>
      </c>
      <c r="E6" s="7">
        <v>29.81</v>
      </c>
      <c r="F6" s="7">
        <v>36.119999999999997</v>
      </c>
      <c r="G6" s="7">
        <v>37.950000000000003</v>
      </c>
      <c r="H6" s="8" t="s">
        <v>14</v>
      </c>
    </row>
    <row r="7" spans="1:8" ht="42.75" customHeight="1" x14ac:dyDescent="0.3">
      <c r="A7" s="5" t="s">
        <v>10</v>
      </c>
      <c r="B7" s="6" t="s">
        <v>15</v>
      </c>
      <c r="C7" s="7">
        <v>63.02</v>
      </c>
      <c r="D7" s="7">
        <v>192.22</v>
      </c>
      <c r="E7" s="7">
        <v>47.37</v>
      </c>
      <c r="F7" s="7">
        <v>102.31</v>
      </c>
      <c r="G7" s="7">
        <v>154.13</v>
      </c>
      <c r="H7" s="8" t="s">
        <v>14</v>
      </c>
    </row>
    <row r="8" spans="1:8" ht="42.75" customHeight="1" x14ac:dyDescent="0.3">
      <c r="A8" s="5" t="s">
        <v>10</v>
      </c>
      <c r="B8" s="6" t="s">
        <v>16</v>
      </c>
      <c r="C8" s="7">
        <v>3084.33</v>
      </c>
      <c r="D8" s="7">
        <v>2662.97</v>
      </c>
      <c r="E8" s="7">
        <v>3767.73</v>
      </c>
      <c r="F8" s="7">
        <v>6986.89</v>
      </c>
      <c r="G8" s="7">
        <v>10590.21</v>
      </c>
      <c r="H8" s="8" t="s">
        <v>14</v>
      </c>
    </row>
    <row r="9" spans="1:8" ht="42.75" customHeight="1" x14ac:dyDescent="0.3">
      <c r="A9" s="5" t="s">
        <v>10</v>
      </c>
      <c r="B9" s="6" t="s">
        <v>17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 t="s">
        <v>14</v>
      </c>
    </row>
    <row r="10" spans="1:8" ht="42.75" customHeight="1" x14ac:dyDescent="0.3">
      <c r="A10" s="5" t="s">
        <v>10</v>
      </c>
      <c r="B10" s="6" t="s">
        <v>18</v>
      </c>
      <c r="C10" s="7">
        <v>9.67</v>
      </c>
      <c r="D10" s="7">
        <v>77.53</v>
      </c>
      <c r="E10" s="7">
        <v>-32.090000000000003</v>
      </c>
      <c r="F10" s="7">
        <v>-269.17</v>
      </c>
      <c r="G10" s="7">
        <v>-482.72</v>
      </c>
      <c r="H10" s="8" t="s">
        <v>14</v>
      </c>
    </row>
    <row r="11" spans="1:8" ht="42.75" customHeight="1" x14ac:dyDescent="0.3">
      <c r="A11" s="5" t="s">
        <v>10</v>
      </c>
      <c r="B11" s="6" t="s">
        <v>19</v>
      </c>
      <c r="C11" s="7">
        <v>225.62</v>
      </c>
      <c r="D11" s="7">
        <v>252.51</v>
      </c>
      <c r="E11" s="7">
        <v>585.75</v>
      </c>
      <c r="F11" s="7">
        <v>791.75</v>
      </c>
      <c r="G11" s="7">
        <v>767.95</v>
      </c>
      <c r="H11" s="8" t="s">
        <v>14</v>
      </c>
    </row>
    <row r="12" spans="1:8" ht="42.75" customHeight="1" x14ac:dyDescent="0.3">
      <c r="A12" s="5" t="s">
        <v>10</v>
      </c>
      <c r="B12" s="6" t="s">
        <v>20</v>
      </c>
      <c r="C12" s="7">
        <v>777.08</v>
      </c>
      <c r="D12" s="7">
        <v>441.56</v>
      </c>
      <c r="E12" s="7">
        <v>144.43</v>
      </c>
      <c r="F12" s="7">
        <v>228.86</v>
      </c>
      <c r="G12" s="7">
        <v>417.74</v>
      </c>
      <c r="H12" s="8" t="s">
        <v>14</v>
      </c>
    </row>
    <row r="13" spans="1:8" ht="42.75" customHeight="1" x14ac:dyDescent="0.3">
      <c r="A13" s="5" t="s">
        <v>10</v>
      </c>
      <c r="B13" s="6" t="s">
        <v>21</v>
      </c>
      <c r="C13" s="7">
        <v>185.13</v>
      </c>
      <c r="D13" s="7">
        <v>190.04</v>
      </c>
      <c r="E13" s="7">
        <v>141.53</v>
      </c>
      <c r="F13" s="7">
        <v>166.85</v>
      </c>
      <c r="G13" s="7">
        <v>189.65</v>
      </c>
      <c r="H13" s="8" t="s">
        <v>14</v>
      </c>
    </row>
    <row r="14" spans="1:8" ht="42.75" customHeight="1" x14ac:dyDescent="0.3">
      <c r="A14" s="5" t="s">
        <v>10</v>
      </c>
      <c r="B14" s="6" t="s">
        <v>22</v>
      </c>
      <c r="C14" s="7">
        <v>651.02</v>
      </c>
      <c r="D14" s="7">
        <v>537.37</v>
      </c>
      <c r="E14" s="7">
        <v>631.86</v>
      </c>
      <c r="F14" s="7">
        <v>1023.99</v>
      </c>
      <c r="G14" s="7">
        <v>1394.28</v>
      </c>
      <c r="H14" s="8" t="s">
        <v>14</v>
      </c>
    </row>
    <row r="15" spans="1:8" ht="42.75" customHeight="1" x14ac:dyDescent="0.3">
      <c r="A15" s="5" t="s">
        <v>10</v>
      </c>
      <c r="B15" s="6" t="s">
        <v>23</v>
      </c>
      <c r="C15" s="7">
        <v>82.87</v>
      </c>
      <c r="D15" s="7">
        <v>-2542.08</v>
      </c>
      <c r="E15" s="7">
        <v>-50.85</v>
      </c>
      <c r="F15" s="7">
        <v>-102.86</v>
      </c>
      <c r="G15" s="7">
        <v>-1178.4000000000001</v>
      </c>
      <c r="H15" s="8" t="s">
        <v>24</v>
      </c>
    </row>
    <row r="16" spans="1:8" ht="42.75" customHeight="1" x14ac:dyDescent="0.3">
      <c r="A16" s="5" t="s">
        <v>10</v>
      </c>
      <c r="B16" s="6" t="s">
        <v>25</v>
      </c>
      <c r="C16" s="7">
        <v>0</v>
      </c>
      <c r="D16" s="7">
        <v>0</v>
      </c>
      <c r="E16" s="7">
        <v>0</v>
      </c>
      <c r="F16" s="7">
        <v>-631</v>
      </c>
      <c r="G16" s="7">
        <v>-564.05999999999995</v>
      </c>
      <c r="H16" s="8" t="s">
        <v>26</v>
      </c>
    </row>
    <row r="17" spans="1:8" ht="42.75" customHeight="1" x14ac:dyDescent="0.3">
      <c r="A17" s="5" t="s">
        <v>10</v>
      </c>
      <c r="B17" s="6" t="s">
        <v>27</v>
      </c>
      <c r="C17" s="7">
        <v>1.67</v>
      </c>
      <c r="D17" s="7">
        <v>-5.71</v>
      </c>
      <c r="E17" s="7">
        <v>3.43</v>
      </c>
      <c r="F17" s="7">
        <v>5.98</v>
      </c>
      <c r="G17" s="7">
        <v>1.34</v>
      </c>
      <c r="H17" s="8" t="s">
        <v>14</v>
      </c>
    </row>
    <row r="18" spans="1:8" ht="42.75" customHeight="1" x14ac:dyDescent="0.3">
      <c r="A18" s="5" t="s">
        <v>10</v>
      </c>
      <c r="B18" s="6" t="s">
        <v>28</v>
      </c>
      <c r="C18" s="7">
        <v>-829.79</v>
      </c>
      <c r="D18" s="7">
        <v>-379.32</v>
      </c>
      <c r="E18" s="7">
        <v>672.32</v>
      </c>
      <c r="F18" s="7">
        <v>1370.86</v>
      </c>
      <c r="G18" s="7">
        <v>2368.5500000000002</v>
      </c>
      <c r="H18" s="8" t="s">
        <v>29</v>
      </c>
    </row>
    <row r="19" spans="1:8" ht="42.75" customHeight="1" x14ac:dyDescent="0.3">
      <c r="A19" s="5" t="s">
        <v>10</v>
      </c>
      <c r="B19" s="6" t="s">
        <v>30</v>
      </c>
      <c r="C19" s="7">
        <v>-912.66</v>
      </c>
      <c r="D19" s="7">
        <v>2162.7600000000002</v>
      </c>
      <c r="E19" s="7">
        <v>723.17</v>
      </c>
      <c r="F19" s="7">
        <v>1473.72</v>
      </c>
      <c r="G19" s="7">
        <v>3546.95</v>
      </c>
      <c r="H19" s="8" t="s">
        <v>29</v>
      </c>
    </row>
    <row r="20" spans="1:8" ht="42.75" customHeight="1" x14ac:dyDescent="0.3">
      <c r="A20" s="5" t="s">
        <v>10</v>
      </c>
      <c r="B20" s="6" t="s">
        <v>31</v>
      </c>
      <c r="C20" s="7">
        <v>-912.66</v>
      </c>
      <c r="D20" s="7">
        <v>2162.7600000000002</v>
      </c>
      <c r="E20" s="7">
        <v>723.17</v>
      </c>
      <c r="F20" s="7">
        <v>2104.7199999999998</v>
      </c>
      <c r="G20" s="7">
        <v>4111.01</v>
      </c>
      <c r="H20" s="8" t="s">
        <v>29</v>
      </c>
    </row>
    <row r="21" spans="1:8" ht="42.75" customHeight="1" x14ac:dyDescent="0.3">
      <c r="A21" s="5" t="s">
        <v>10</v>
      </c>
      <c r="B21" s="6" t="s">
        <v>32</v>
      </c>
      <c r="C21" s="7">
        <v>-910.99</v>
      </c>
      <c r="D21" s="7">
        <v>2157.0500000000002</v>
      </c>
      <c r="E21" s="7">
        <v>726.6</v>
      </c>
      <c r="F21" s="7">
        <v>2110.6999999999998</v>
      </c>
      <c r="G21" s="7">
        <v>4112.3500000000004</v>
      </c>
      <c r="H21" s="8" t="s">
        <v>29</v>
      </c>
    </row>
    <row r="22" spans="1:8" ht="42.75" customHeight="1" x14ac:dyDescent="0.3">
      <c r="A22" s="5" t="s">
        <v>33</v>
      </c>
      <c r="B22" s="6" t="s">
        <v>34</v>
      </c>
      <c r="C22" s="7">
        <v>466.78</v>
      </c>
      <c r="D22" s="7">
        <v>425.07</v>
      </c>
      <c r="E22" s="7">
        <v>554.87</v>
      </c>
      <c r="F22" s="7">
        <v>579.30999999999995</v>
      </c>
      <c r="G22" s="7">
        <v>758.81</v>
      </c>
      <c r="H22" s="8" t="s">
        <v>35</v>
      </c>
    </row>
    <row r="23" spans="1:8" ht="42.75" customHeight="1" x14ac:dyDescent="0.3">
      <c r="A23" s="5" t="s">
        <v>33</v>
      </c>
      <c r="B23" s="6" t="s">
        <v>36</v>
      </c>
      <c r="C23" s="7">
        <v>58.96</v>
      </c>
      <c r="D23" s="7">
        <v>9.19</v>
      </c>
      <c r="E23" s="7">
        <v>35.619999999999997</v>
      </c>
      <c r="F23" s="7">
        <v>36.06</v>
      </c>
      <c r="G23" s="7">
        <v>293.95999999999998</v>
      </c>
      <c r="H23" s="8" t="s">
        <v>35</v>
      </c>
    </row>
    <row r="24" spans="1:8" ht="42.75" customHeight="1" x14ac:dyDescent="0.3">
      <c r="A24" s="5" t="s">
        <v>33</v>
      </c>
      <c r="B24" s="6" t="s">
        <v>37</v>
      </c>
      <c r="C24" s="7">
        <v>7.63</v>
      </c>
      <c r="D24" s="7">
        <v>0.87</v>
      </c>
      <c r="E24" s="7">
        <v>4.28</v>
      </c>
      <c r="F24" s="7">
        <v>59.59</v>
      </c>
      <c r="G24" s="7">
        <v>137.88</v>
      </c>
      <c r="H24" s="8" t="s">
        <v>35</v>
      </c>
    </row>
    <row r="25" spans="1:8" ht="42.75" customHeight="1" x14ac:dyDescent="0.3">
      <c r="A25" s="5" t="s">
        <v>33</v>
      </c>
      <c r="B25" s="6" t="s">
        <v>38</v>
      </c>
      <c r="C25" s="7">
        <v>124.7</v>
      </c>
      <c r="D25" s="7">
        <v>62.9</v>
      </c>
      <c r="E25" s="7">
        <v>55.35</v>
      </c>
      <c r="F25" s="7">
        <v>91.35</v>
      </c>
      <c r="G25" s="7">
        <v>155.33000000000001</v>
      </c>
      <c r="H25" s="8" t="s">
        <v>35</v>
      </c>
    </row>
    <row r="26" spans="1:8" ht="42.75" customHeight="1" x14ac:dyDescent="0.3">
      <c r="A26" s="5" t="s">
        <v>33</v>
      </c>
      <c r="B26" s="6" t="s">
        <v>39</v>
      </c>
      <c r="C26" s="7">
        <v>4.42</v>
      </c>
      <c r="D26" s="7">
        <v>3.43</v>
      </c>
      <c r="E26" s="7">
        <v>3.51</v>
      </c>
      <c r="F26" s="7">
        <v>16.350000000000001</v>
      </c>
      <c r="G26" s="7">
        <v>13.57</v>
      </c>
      <c r="H26" s="8" t="s">
        <v>35</v>
      </c>
    </row>
    <row r="27" spans="1:8" ht="42.75" customHeight="1" x14ac:dyDescent="0.3">
      <c r="A27" s="5" t="s">
        <v>33</v>
      </c>
      <c r="B27" s="6" t="s">
        <v>40</v>
      </c>
      <c r="C27" s="7">
        <v>1751.98</v>
      </c>
      <c r="D27" s="7">
        <v>1753.9</v>
      </c>
      <c r="E27" s="7">
        <v>370.25</v>
      </c>
      <c r="F27" s="7">
        <v>1277.7</v>
      </c>
      <c r="G27" s="7">
        <v>2123.2800000000002</v>
      </c>
      <c r="H27" s="8" t="s">
        <v>35</v>
      </c>
    </row>
    <row r="28" spans="1:8" ht="42.75" customHeight="1" x14ac:dyDescent="0.3">
      <c r="A28" s="5" t="s">
        <v>33</v>
      </c>
      <c r="B28" s="6" t="s">
        <v>41</v>
      </c>
      <c r="C28" s="7">
        <v>52.51</v>
      </c>
      <c r="D28" s="7">
        <v>1244.42</v>
      </c>
      <c r="E28" s="7">
        <v>95.07</v>
      </c>
      <c r="F28" s="7">
        <v>139.06</v>
      </c>
      <c r="G28" s="7">
        <v>525.64</v>
      </c>
      <c r="H28" s="8" t="s">
        <v>35</v>
      </c>
    </row>
    <row r="29" spans="1:8" ht="42.75" customHeight="1" x14ac:dyDescent="0.3">
      <c r="A29" s="5" t="s">
        <v>33</v>
      </c>
      <c r="B29" s="6" t="s">
        <v>42</v>
      </c>
      <c r="C29" s="7">
        <v>228.67</v>
      </c>
      <c r="D29" s="7">
        <v>383.39</v>
      </c>
      <c r="E29" s="7">
        <v>871.82</v>
      </c>
      <c r="F29" s="7">
        <v>1062.67</v>
      </c>
      <c r="G29" s="7">
        <v>1397.21</v>
      </c>
      <c r="H29" s="8" t="s">
        <v>35</v>
      </c>
    </row>
    <row r="30" spans="1:8" ht="42.75" customHeight="1" x14ac:dyDescent="0.3">
      <c r="A30" s="5" t="s">
        <v>33</v>
      </c>
      <c r="B30" s="6" t="s">
        <v>43</v>
      </c>
      <c r="C30" s="7">
        <v>0</v>
      </c>
      <c r="D30" s="7">
        <v>0</v>
      </c>
      <c r="E30" s="7">
        <v>0</v>
      </c>
      <c r="F30" s="7">
        <v>638.04999999999995</v>
      </c>
      <c r="G30" s="7">
        <v>1202.1099999999999</v>
      </c>
      <c r="H30" s="8" t="s">
        <v>35</v>
      </c>
    </row>
    <row r="31" spans="1:8" ht="42.75" customHeight="1" x14ac:dyDescent="0.3">
      <c r="A31" s="5" t="s">
        <v>33</v>
      </c>
      <c r="B31" s="6" t="s">
        <v>44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8" t="s">
        <v>35</v>
      </c>
    </row>
    <row r="32" spans="1:8" ht="42.75" customHeight="1" x14ac:dyDescent="0.3">
      <c r="A32" s="5" t="s">
        <v>33</v>
      </c>
      <c r="B32" s="6" t="s">
        <v>45</v>
      </c>
      <c r="C32" s="7">
        <v>100.15</v>
      </c>
      <c r="D32" s="7">
        <v>100.52</v>
      </c>
      <c r="E32" s="7">
        <v>99.62</v>
      </c>
      <c r="F32" s="7">
        <v>88.29</v>
      </c>
      <c r="G32" s="7">
        <v>54.39</v>
      </c>
      <c r="H32" s="8" t="s">
        <v>35</v>
      </c>
    </row>
    <row r="33" spans="1:8" ht="42.75" customHeight="1" x14ac:dyDescent="0.3">
      <c r="A33" s="5" t="s">
        <v>33</v>
      </c>
      <c r="B33" s="6" t="s">
        <v>46</v>
      </c>
      <c r="C33" s="7">
        <v>1167.47</v>
      </c>
      <c r="D33" s="7">
        <v>760.42</v>
      </c>
      <c r="E33" s="7">
        <v>2053.52</v>
      </c>
      <c r="F33" s="7">
        <v>2857.11</v>
      </c>
      <c r="G33" s="7">
        <v>3557.49</v>
      </c>
      <c r="H33" s="8" t="s">
        <v>35</v>
      </c>
    </row>
    <row r="34" spans="1:8" ht="42.75" customHeight="1" x14ac:dyDescent="0.3">
      <c r="A34" s="5" t="s">
        <v>33</v>
      </c>
      <c r="B34" s="6" t="s">
        <v>47</v>
      </c>
      <c r="C34" s="7">
        <v>0</v>
      </c>
      <c r="D34" s="7">
        <v>0</v>
      </c>
      <c r="E34" s="7">
        <v>8.35</v>
      </c>
      <c r="F34" s="7">
        <v>0</v>
      </c>
      <c r="G34" s="7">
        <v>213.89</v>
      </c>
      <c r="H34" s="8" t="s">
        <v>35</v>
      </c>
    </row>
    <row r="35" spans="1:8" ht="42.75" customHeight="1" x14ac:dyDescent="0.3">
      <c r="A35" s="5" t="s">
        <v>33</v>
      </c>
      <c r="B35" s="6" t="s">
        <v>48</v>
      </c>
      <c r="C35" s="7">
        <v>667.63</v>
      </c>
      <c r="D35" s="7">
        <v>546.32000000000005</v>
      </c>
      <c r="E35" s="7">
        <v>1658.56</v>
      </c>
      <c r="F35" s="7">
        <v>3682.9</v>
      </c>
      <c r="G35" s="7">
        <v>5741.95</v>
      </c>
      <c r="H35" s="8" t="s">
        <v>35</v>
      </c>
    </row>
    <row r="36" spans="1:8" ht="42.75" customHeight="1" x14ac:dyDescent="0.3">
      <c r="A36" s="5" t="s">
        <v>33</v>
      </c>
      <c r="B36" s="6" t="s">
        <v>49</v>
      </c>
      <c r="C36" s="7">
        <v>350.75</v>
      </c>
      <c r="D36" s="7">
        <v>290.63</v>
      </c>
      <c r="E36" s="7">
        <v>184.89</v>
      </c>
      <c r="F36" s="7">
        <v>808.02</v>
      </c>
      <c r="G36" s="7">
        <v>297.67</v>
      </c>
      <c r="H36" s="8" t="s">
        <v>35</v>
      </c>
    </row>
    <row r="37" spans="1:8" ht="42.75" customHeight="1" x14ac:dyDescent="0.3">
      <c r="A37" s="5" t="s">
        <v>33</v>
      </c>
      <c r="B37" s="6" t="s">
        <v>50</v>
      </c>
      <c r="C37" s="7">
        <v>59.27</v>
      </c>
      <c r="D37" s="7">
        <v>0</v>
      </c>
      <c r="E37" s="7">
        <v>177.27</v>
      </c>
      <c r="F37" s="7">
        <v>188.78</v>
      </c>
      <c r="G37" s="7">
        <v>575.27</v>
      </c>
      <c r="H37" s="8" t="s">
        <v>35</v>
      </c>
    </row>
    <row r="38" spans="1:8" ht="42.75" customHeight="1" x14ac:dyDescent="0.3">
      <c r="A38" s="5" t="s">
        <v>33</v>
      </c>
      <c r="B38" s="6" t="s">
        <v>51</v>
      </c>
      <c r="C38" s="7">
        <v>52.35</v>
      </c>
      <c r="D38" s="7">
        <v>0.61</v>
      </c>
      <c r="E38" s="7">
        <v>0.26</v>
      </c>
      <c r="F38" s="7">
        <v>0.27</v>
      </c>
      <c r="G38" s="7">
        <v>133.07</v>
      </c>
      <c r="H38" s="8" t="s">
        <v>35</v>
      </c>
    </row>
    <row r="39" spans="1:8" ht="42.75" customHeight="1" x14ac:dyDescent="0.3">
      <c r="A39" s="5" t="s">
        <v>33</v>
      </c>
      <c r="B39" s="6" t="s">
        <v>52</v>
      </c>
      <c r="C39" s="7">
        <v>76.36</v>
      </c>
      <c r="D39" s="7">
        <v>75.5</v>
      </c>
      <c r="E39" s="7">
        <v>153.66999999999999</v>
      </c>
      <c r="F39" s="7">
        <v>185.63</v>
      </c>
      <c r="G39" s="7">
        <v>201.99</v>
      </c>
      <c r="H39" s="8" t="s">
        <v>35</v>
      </c>
    </row>
    <row r="40" spans="1:8" ht="42.75" customHeight="1" x14ac:dyDescent="0.3">
      <c r="A40" s="5" t="s">
        <v>33</v>
      </c>
      <c r="B40" s="6" t="s">
        <v>53</v>
      </c>
      <c r="C40" s="7">
        <v>410.09</v>
      </c>
      <c r="D40" s="7">
        <v>363.01</v>
      </c>
      <c r="E40" s="7">
        <v>430.14</v>
      </c>
      <c r="F40" s="7">
        <v>633.32000000000005</v>
      </c>
      <c r="G40" s="7">
        <v>701.27</v>
      </c>
      <c r="H40" s="8" t="s">
        <v>35</v>
      </c>
    </row>
    <row r="41" spans="1:8" ht="42.75" customHeight="1" x14ac:dyDescent="0.3">
      <c r="A41" s="5" t="s">
        <v>33</v>
      </c>
      <c r="B41" s="6" t="s">
        <v>54</v>
      </c>
      <c r="C41" s="7">
        <v>95.54</v>
      </c>
      <c r="D41" s="7">
        <v>27.81</v>
      </c>
      <c r="E41" s="7">
        <v>0</v>
      </c>
      <c r="F41" s="7">
        <v>0</v>
      </c>
      <c r="G41" s="7">
        <v>0</v>
      </c>
      <c r="H41" s="8" t="s">
        <v>35</v>
      </c>
    </row>
    <row r="42" spans="1:8" ht="42.75" customHeight="1" x14ac:dyDescent="0.3">
      <c r="A42" s="5" t="s">
        <v>33</v>
      </c>
      <c r="B42" s="6" t="s">
        <v>55</v>
      </c>
      <c r="C42" s="7">
        <v>1843.49</v>
      </c>
      <c r="D42" s="7">
        <v>2454.4</v>
      </c>
      <c r="E42" s="7">
        <v>2721.72</v>
      </c>
      <c r="F42" s="7">
        <v>2731.79</v>
      </c>
      <c r="G42" s="7">
        <v>2744.99</v>
      </c>
      <c r="H42" s="8" t="s">
        <v>35</v>
      </c>
    </row>
    <row r="43" spans="1:8" ht="42.75" customHeight="1" x14ac:dyDescent="0.3">
      <c r="A43" s="5" t="s">
        <v>33</v>
      </c>
      <c r="B43" s="6" t="s">
        <v>56</v>
      </c>
      <c r="C43" s="7">
        <v>-5735.58</v>
      </c>
      <c r="D43" s="7">
        <v>-1035.01</v>
      </c>
      <c r="E43" s="7">
        <v>559.47</v>
      </c>
      <c r="F43" s="7">
        <v>2797.21</v>
      </c>
      <c r="G43" s="7">
        <v>7082.76</v>
      </c>
      <c r="H43" s="8" t="s">
        <v>35</v>
      </c>
    </row>
    <row r="44" spans="1:8" ht="42.75" customHeight="1" x14ac:dyDescent="0.3">
      <c r="A44" s="5" t="s">
        <v>33</v>
      </c>
      <c r="B44" s="6" t="s">
        <v>57</v>
      </c>
      <c r="C44" s="7">
        <v>3774.69</v>
      </c>
      <c r="D44" s="7">
        <v>2008.98</v>
      </c>
      <c r="E44" s="7">
        <v>0</v>
      </c>
      <c r="F44" s="7">
        <v>0</v>
      </c>
      <c r="G44" s="7">
        <v>0</v>
      </c>
      <c r="H44" s="8" t="s">
        <v>35</v>
      </c>
    </row>
    <row r="45" spans="1:8" ht="42.75" customHeight="1" x14ac:dyDescent="0.3">
      <c r="A45" s="5" t="s">
        <v>33</v>
      </c>
      <c r="B45" s="6" t="s">
        <v>58</v>
      </c>
      <c r="C45" s="7">
        <v>43.14</v>
      </c>
      <c r="D45" s="7">
        <v>4.99</v>
      </c>
      <c r="E45" s="7">
        <v>14.5</v>
      </c>
      <c r="F45" s="7">
        <v>22.97</v>
      </c>
      <c r="G45" s="7">
        <v>261.11</v>
      </c>
      <c r="H45" s="8" t="s">
        <v>35</v>
      </c>
    </row>
    <row r="46" spans="1:8" ht="42.75" customHeight="1" x14ac:dyDescent="0.3">
      <c r="A46" s="5" t="s">
        <v>33</v>
      </c>
      <c r="B46" s="6" t="s">
        <v>59</v>
      </c>
      <c r="C46" s="7">
        <v>2351.73</v>
      </c>
      <c r="D46" s="7">
        <v>3.39</v>
      </c>
      <c r="E46" s="7">
        <v>4.58</v>
      </c>
      <c r="F46" s="7">
        <v>617.94000000000005</v>
      </c>
      <c r="G46" s="7">
        <v>628.89</v>
      </c>
      <c r="H46" s="8" t="s">
        <v>35</v>
      </c>
    </row>
    <row r="47" spans="1:8" ht="42.75" customHeight="1" x14ac:dyDescent="0.3">
      <c r="A47" s="5" t="s">
        <v>33</v>
      </c>
      <c r="B47" s="6" t="s">
        <v>60</v>
      </c>
      <c r="C47" s="7">
        <v>112.96</v>
      </c>
      <c r="D47" s="7">
        <v>144.83000000000001</v>
      </c>
      <c r="E47" s="7">
        <v>163.41</v>
      </c>
      <c r="F47" s="7">
        <v>147.96</v>
      </c>
      <c r="G47" s="7">
        <v>207.51</v>
      </c>
      <c r="H47" s="8" t="s">
        <v>35</v>
      </c>
    </row>
    <row r="48" spans="1:8" ht="42.75" customHeight="1" x14ac:dyDescent="0.3">
      <c r="A48" s="5" t="s">
        <v>33</v>
      </c>
      <c r="B48" s="6" t="s">
        <v>61</v>
      </c>
      <c r="C48" s="7">
        <v>0.19</v>
      </c>
      <c r="D48" s="7">
        <v>0.48</v>
      </c>
      <c r="E48" s="7">
        <v>0.48</v>
      </c>
      <c r="F48" s="7">
        <v>0.45</v>
      </c>
      <c r="G48" s="7">
        <v>0.09</v>
      </c>
      <c r="H48" s="8" t="s">
        <v>35</v>
      </c>
    </row>
    <row r="49" spans="1:8" ht="42.75" customHeight="1" x14ac:dyDescent="0.3">
      <c r="A49" s="5" t="s">
        <v>33</v>
      </c>
      <c r="B49" s="6" t="s">
        <v>62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8" t="s">
        <v>35</v>
      </c>
    </row>
    <row r="50" spans="1:8" ht="42.75" customHeight="1" x14ac:dyDescent="0.3">
      <c r="A50" s="5" t="s">
        <v>33</v>
      </c>
      <c r="B50" s="6" t="s">
        <v>63</v>
      </c>
      <c r="C50" s="7">
        <v>486.54</v>
      </c>
      <c r="D50" s="7">
        <v>323.02</v>
      </c>
      <c r="E50" s="7">
        <v>0</v>
      </c>
      <c r="F50" s="7">
        <v>0</v>
      </c>
      <c r="G50" s="7">
        <v>0</v>
      </c>
      <c r="H50" s="8" t="s">
        <v>35</v>
      </c>
    </row>
    <row r="51" spans="1:8" ht="42.75" customHeight="1" x14ac:dyDescent="0.3">
      <c r="A51" s="5" t="s">
        <v>33</v>
      </c>
      <c r="B51" s="6" t="s">
        <v>64</v>
      </c>
      <c r="C51" s="7">
        <v>9.8699999999999992</v>
      </c>
      <c r="D51" s="7">
        <v>5.21</v>
      </c>
      <c r="E51" s="7">
        <v>23.16</v>
      </c>
      <c r="F51" s="7">
        <v>12.57</v>
      </c>
      <c r="G51" s="7">
        <v>27.66</v>
      </c>
      <c r="H51" s="8" t="s">
        <v>35</v>
      </c>
    </row>
    <row r="52" spans="1:8" ht="42.75" customHeight="1" x14ac:dyDescent="0.3">
      <c r="A52" s="5" t="s">
        <v>33</v>
      </c>
      <c r="B52" s="6" t="s">
        <v>65</v>
      </c>
      <c r="C52" s="7">
        <v>58.98</v>
      </c>
      <c r="D52" s="7">
        <v>2.7</v>
      </c>
      <c r="E52" s="7">
        <v>33.92</v>
      </c>
      <c r="F52" s="7">
        <v>61.86</v>
      </c>
      <c r="G52" s="7">
        <v>124.48</v>
      </c>
      <c r="H52" s="8" t="s">
        <v>35</v>
      </c>
    </row>
    <row r="53" spans="1:8" ht="42.75" customHeight="1" x14ac:dyDescent="0.3">
      <c r="A53" s="5" t="s">
        <v>33</v>
      </c>
      <c r="B53" s="6" t="s">
        <v>66</v>
      </c>
      <c r="C53" s="7">
        <v>1756.96</v>
      </c>
      <c r="D53" s="7">
        <v>1059.3900000000001</v>
      </c>
      <c r="E53" s="7">
        <v>2148.06</v>
      </c>
      <c r="F53" s="7">
        <v>3271.34</v>
      </c>
      <c r="G53" s="7">
        <v>4385.84</v>
      </c>
      <c r="H53" s="8" t="s">
        <v>35</v>
      </c>
    </row>
    <row r="54" spans="1:8" ht="42.75" customHeight="1" x14ac:dyDescent="0.3">
      <c r="A54" s="5" t="s">
        <v>33</v>
      </c>
      <c r="B54" s="6" t="s">
        <v>67</v>
      </c>
      <c r="C54" s="7">
        <v>211.09</v>
      </c>
      <c r="D54" s="7">
        <v>220.99</v>
      </c>
      <c r="E54" s="7">
        <v>211.45</v>
      </c>
      <c r="F54" s="7">
        <v>369.37</v>
      </c>
      <c r="G54" s="7">
        <v>112.58</v>
      </c>
      <c r="H54" s="8" t="s">
        <v>35</v>
      </c>
    </row>
    <row r="55" spans="1:8" ht="42.75" customHeight="1" x14ac:dyDescent="0.3">
      <c r="A55" s="5" t="s">
        <v>33</v>
      </c>
      <c r="B55" s="6" t="s">
        <v>68</v>
      </c>
      <c r="C55" s="7">
        <v>395.26</v>
      </c>
      <c r="D55" s="7">
        <v>451.2</v>
      </c>
      <c r="E55" s="7">
        <v>548.52</v>
      </c>
      <c r="F55" s="7">
        <v>550.20000000000005</v>
      </c>
      <c r="G55" s="7">
        <v>683.76</v>
      </c>
      <c r="H55" s="8" t="s">
        <v>35</v>
      </c>
    </row>
    <row r="56" spans="1:8" ht="42.75" customHeight="1" x14ac:dyDescent="0.3">
      <c r="A56" s="5" t="s">
        <v>33</v>
      </c>
      <c r="B56" s="6" t="s">
        <v>69</v>
      </c>
      <c r="C56" s="7">
        <v>0</v>
      </c>
      <c r="D56" s="7">
        <v>0</v>
      </c>
      <c r="E56" s="7">
        <v>0</v>
      </c>
      <c r="F56" s="7">
        <v>7.05</v>
      </c>
      <c r="G56" s="7">
        <v>0</v>
      </c>
      <c r="H56" s="8" t="s">
        <v>35</v>
      </c>
    </row>
    <row r="57" spans="1:8" ht="42.75" customHeight="1" x14ac:dyDescent="0.3">
      <c r="A57" s="5" t="s">
        <v>33</v>
      </c>
      <c r="B57" s="6" t="s">
        <v>70</v>
      </c>
      <c r="C57" s="7">
        <v>11.95</v>
      </c>
      <c r="D57" s="7">
        <v>16.760000000000002</v>
      </c>
      <c r="E57" s="7">
        <v>47.3</v>
      </c>
      <c r="F57" s="7">
        <v>73.72</v>
      </c>
      <c r="G57" s="7">
        <v>47.72</v>
      </c>
      <c r="H57" s="8" t="s">
        <v>35</v>
      </c>
    </row>
    <row r="58" spans="1:8" ht="42.75" customHeight="1" x14ac:dyDescent="0.3">
      <c r="A58" s="5" t="s">
        <v>33</v>
      </c>
      <c r="B58" s="6" t="s">
        <v>71</v>
      </c>
      <c r="C58" s="7">
        <v>353.99</v>
      </c>
      <c r="D58" s="7">
        <v>386.66</v>
      </c>
      <c r="E58" s="7">
        <v>280.48</v>
      </c>
      <c r="F58" s="7">
        <v>1680.03</v>
      </c>
      <c r="G58" s="7">
        <v>1777.39</v>
      </c>
      <c r="H58" s="8" t="s">
        <v>35</v>
      </c>
    </row>
  </sheetData>
  <autoFilter ref="A4:H58" xr:uid="{00000000-0009-0000-0000-000000000000}"/>
  <mergeCells count="2">
    <mergeCell ref="A2:H2"/>
    <mergeCell ref="A1:H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2" sqref="A22"/>
    </sheetView>
  </sheetViews>
  <sheetFormatPr defaultColWidth="8.6640625" defaultRowHeight="14.25" customHeight="1" x14ac:dyDescent="0.3"/>
  <cols>
    <col min="1" max="1" width="59" bestFit="1" customWidth="1"/>
    <col min="2" max="11" width="14" customWidth="1"/>
  </cols>
  <sheetData>
    <row r="1" spans="1:11" ht="21" customHeight="1" x14ac:dyDescent="0.3">
      <c r="A1" s="28" t="s">
        <v>72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25" customHeight="1" x14ac:dyDescent="0.3">
      <c r="A2" s="29" t="s">
        <v>73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4.4" customHeight="1" x14ac:dyDescent="0.3"/>
    <row r="4" spans="1:11" ht="14.25" customHeight="1" x14ac:dyDescent="0.3">
      <c r="A4" s="2" t="s">
        <v>74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1" ht="14.25" customHeight="1" x14ac:dyDescent="0.3">
      <c r="A5" s="9" t="s">
        <v>11</v>
      </c>
      <c r="B5" s="10">
        <f>'00 Raw Data'!C5</f>
        <v>3975.41</v>
      </c>
      <c r="C5" s="10">
        <f>'00 Raw Data'!D5</f>
        <v>3538.14</v>
      </c>
      <c r="D5" s="10">
        <f>'00 Raw Data'!E5</f>
        <v>5834.35</v>
      </c>
      <c r="E5" s="10">
        <f>'00 Raw Data'!F5</f>
        <v>10161.6</v>
      </c>
      <c r="F5" s="10">
        <f>'00 Raw Data'!G5</f>
        <v>15053.58</v>
      </c>
      <c r="G5" s="11">
        <f t="shared" ref="G5:G25" si="0">IFERROR((C5-B5)/B5,"")</f>
        <v>-0.10999368618582737</v>
      </c>
      <c r="H5" s="11">
        <f t="shared" ref="H5:H25" si="1">IFERROR((D5-C5)/C5,"")</f>
        <v>0.64898788629053705</v>
      </c>
      <c r="I5" s="11">
        <f t="shared" ref="I5:I25" si="2">IFERROR((E5-D5)/D5,"")</f>
        <v>0.74168502061069352</v>
      </c>
      <c r="J5" s="11">
        <f t="shared" ref="J5:J25" si="3">IFERROR((F5-E5)/E5,"")</f>
        <v>0.48141828058573449</v>
      </c>
      <c r="K5" s="11">
        <f t="shared" ref="K5:K25" si="4">IFERROR(F5/B5-1,"")</f>
        <v>2.7866735758072751</v>
      </c>
    </row>
    <row r="6" spans="1:11" ht="14.25" customHeight="1" x14ac:dyDescent="0.3">
      <c r="A6" s="9" t="s">
        <v>13</v>
      </c>
      <c r="B6" s="10">
        <f>'00 Raw Data'!C6</f>
        <v>64.63</v>
      </c>
      <c r="C6" s="10">
        <f>'00 Raw Data'!D6</f>
        <v>52.3</v>
      </c>
      <c r="D6" s="10">
        <f>'00 Raw Data'!E6</f>
        <v>29.81</v>
      </c>
      <c r="E6" s="10">
        <f>'00 Raw Data'!F6</f>
        <v>36.119999999999997</v>
      </c>
      <c r="F6" s="10">
        <f>'00 Raw Data'!G6</f>
        <v>37.950000000000003</v>
      </c>
      <c r="G6" s="11">
        <f t="shared" si="0"/>
        <v>-0.19077827634225591</v>
      </c>
      <c r="H6" s="11">
        <f t="shared" si="1"/>
        <v>-0.43001912045889101</v>
      </c>
      <c r="I6" s="11">
        <f t="shared" si="2"/>
        <v>0.21167393492116737</v>
      </c>
      <c r="J6" s="11">
        <f t="shared" si="3"/>
        <v>5.0664451827242676E-2</v>
      </c>
      <c r="K6" s="11">
        <f t="shared" si="4"/>
        <v>-0.41281138790035576</v>
      </c>
    </row>
    <row r="7" spans="1:11" ht="14.25" customHeight="1" x14ac:dyDescent="0.3">
      <c r="A7" s="12" t="s">
        <v>15</v>
      </c>
      <c r="B7" s="13">
        <f>'00 Raw Data'!C7</f>
        <v>63.02</v>
      </c>
      <c r="C7" s="13">
        <f>'00 Raw Data'!D7</f>
        <v>192.22</v>
      </c>
      <c r="D7" s="13">
        <f>'00 Raw Data'!E7</f>
        <v>47.37</v>
      </c>
      <c r="E7" s="13">
        <f>'00 Raw Data'!F7</f>
        <v>102.31</v>
      </c>
      <c r="F7" s="13">
        <f>'00 Raw Data'!G7</f>
        <v>154.13</v>
      </c>
      <c r="G7" s="14">
        <f t="shared" si="0"/>
        <v>2.0501428118057756</v>
      </c>
      <c r="H7" s="14">
        <f t="shared" si="1"/>
        <v>-0.75356362501300589</v>
      </c>
      <c r="I7" s="14">
        <f t="shared" si="2"/>
        <v>1.1598057842516363</v>
      </c>
      <c r="J7" s="14">
        <f t="shared" si="3"/>
        <v>0.50649985338676562</v>
      </c>
      <c r="K7" s="14">
        <f t="shared" si="4"/>
        <v>1.445731513805141</v>
      </c>
    </row>
    <row r="8" spans="1:11" ht="14.25" customHeight="1" x14ac:dyDescent="0.3">
      <c r="A8" s="15" t="s">
        <v>80</v>
      </c>
      <c r="B8" s="16">
        <f>B5+B6+B7</f>
        <v>4103.0600000000004</v>
      </c>
      <c r="C8" s="16">
        <f>C5+C6+C7</f>
        <v>3782.66</v>
      </c>
      <c r="D8" s="16">
        <f>D5+D6+D7</f>
        <v>5911.5300000000007</v>
      </c>
      <c r="E8" s="16">
        <f>E5+E6+E7</f>
        <v>10300.030000000001</v>
      </c>
      <c r="F8" s="16">
        <f>F5+F6+F7</f>
        <v>15245.66</v>
      </c>
      <c r="G8" s="17">
        <f t="shared" si="0"/>
        <v>-7.808806110561399E-2</v>
      </c>
      <c r="H8" s="17">
        <f t="shared" si="1"/>
        <v>0.56279707930398204</v>
      </c>
      <c r="I8" s="17">
        <f t="shared" si="2"/>
        <v>0.74236280624474538</v>
      </c>
      <c r="J8" s="17">
        <f t="shared" si="3"/>
        <v>0.48015685391207585</v>
      </c>
      <c r="K8" s="17">
        <f t="shared" si="4"/>
        <v>2.7156804921205144</v>
      </c>
    </row>
    <row r="9" spans="1:11" ht="14.25" customHeight="1" x14ac:dyDescent="0.3">
      <c r="A9" s="9" t="s">
        <v>16</v>
      </c>
      <c r="B9" s="10">
        <f>'00 Raw Data'!C8</f>
        <v>3084.33</v>
      </c>
      <c r="C9" s="10">
        <f>'00 Raw Data'!D8</f>
        <v>2662.97</v>
      </c>
      <c r="D9" s="10">
        <f>'00 Raw Data'!E8</f>
        <v>3767.73</v>
      </c>
      <c r="E9" s="10">
        <f>'00 Raw Data'!F8</f>
        <v>6986.89</v>
      </c>
      <c r="F9" s="10">
        <f>'00 Raw Data'!G8</f>
        <v>10590.21</v>
      </c>
      <c r="G9" s="11">
        <f t="shared" si="0"/>
        <v>-0.13661313802349298</v>
      </c>
      <c r="H9" s="11">
        <f t="shared" si="1"/>
        <v>0.41486009981336641</v>
      </c>
      <c r="I9" s="11">
        <f t="shared" si="2"/>
        <v>0.85440304905075481</v>
      </c>
      <c r="J9" s="11">
        <f t="shared" si="3"/>
        <v>0.51572588089979932</v>
      </c>
      <c r="K9" s="11">
        <f t="shared" si="4"/>
        <v>2.4335528299501026</v>
      </c>
    </row>
    <row r="10" spans="1:11" ht="14.25" customHeight="1" x14ac:dyDescent="0.3">
      <c r="A10" s="9" t="s">
        <v>17</v>
      </c>
      <c r="B10" s="10">
        <f>'00 Raw Data'!C9</f>
        <v>0</v>
      </c>
      <c r="C10" s="10">
        <f>'00 Raw Data'!D9</f>
        <v>0</v>
      </c>
      <c r="D10" s="10">
        <f>'00 Raw Data'!E9</f>
        <v>0</v>
      </c>
      <c r="E10" s="10">
        <f>'00 Raw Data'!F9</f>
        <v>0</v>
      </c>
      <c r="F10" s="10">
        <f>'00 Raw Data'!G9</f>
        <v>0</v>
      </c>
      <c r="G10" s="11" t="str">
        <f t="shared" si="0"/>
        <v/>
      </c>
      <c r="H10" s="11" t="str">
        <f t="shared" si="1"/>
        <v/>
      </c>
      <c r="I10" s="11" t="str">
        <f t="shared" si="2"/>
        <v/>
      </c>
      <c r="J10" s="11" t="str">
        <f t="shared" si="3"/>
        <v/>
      </c>
      <c r="K10" s="11" t="str">
        <f t="shared" si="4"/>
        <v/>
      </c>
    </row>
    <row r="11" spans="1:11" ht="27.75" customHeight="1" x14ac:dyDescent="0.3">
      <c r="A11" s="9" t="s">
        <v>18</v>
      </c>
      <c r="B11" s="10">
        <f>'00 Raw Data'!C10</f>
        <v>9.67</v>
      </c>
      <c r="C11" s="10">
        <f>'00 Raw Data'!D10</f>
        <v>77.53</v>
      </c>
      <c r="D11" s="10">
        <f>'00 Raw Data'!E10</f>
        <v>-32.090000000000003</v>
      </c>
      <c r="E11" s="10">
        <f>'00 Raw Data'!F10</f>
        <v>-269.17</v>
      </c>
      <c r="F11" s="10">
        <f>'00 Raw Data'!G10</f>
        <v>-482.72</v>
      </c>
      <c r="G11" s="11">
        <f t="shared" si="0"/>
        <v>7.0175801447776625</v>
      </c>
      <c r="H11" s="11">
        <f t="shared" si="1"/>
        <v>-1.4139042951115697</v>
      </c>
      <c r="I11" s="11">
        <f t="shared" si="2"/>
        <v>7.3879713306325954</v>
      </c>
      <c r="J11" s="11">
        <f t="shared" si="3"/>
        <v>0.79336478805216037</v>
      </c>
      <c r="K11" s="11">
        <f t="shared" si="4"/>
        <v>-50.919338159255432</v>
      </c>
    </row>
    <row r="12" spans="1:11" ht="14.25" customHeight="1" x14ac:dyDescent="0.3">
      <c r="A12" s="9" t="s">
        <v>19</v>
      </c>
      <c r="B12" s="10">
        <f>'00 Raw Data'!C11</f>
        <v>225.62</v>
      </c>
      <c r="C12" s="10">
        <f>'00 Raw Data'!D11</f>
        <v>252.51</v>
      </c>
      <c r="D12" s="10">
        <f>'00 Raw Data'!E11</f>
        <v>585.75</v>
      </c>
      <c r="E12" s="10">
        <f>'00 Raw Data'!F11</f>
        <v>791.75</v>
      </c>
      <c r="F12" s="10">
        <f>'00 Raw Data'!G11</f>
        <v>767.95</v>
      </c>
      <c r="G12" s="11">
        <f t="shared" si="0"/>
        <v>0.119182696569453</v>
      </c>
      <c r="H12" s="11">
        <f t="shared" si="1"/>
        <v>1.3197101104906737</v>
      </c>
      <c r="I12" s="11">
        <f t="shared" si="2"/>
        <v>0.35168587281263336</v>
      </c>
      <c r="J12" s="11">
        <f t="shared" si="3"/>
        <v>-3.0059993684875219E-2</v>
      </c>
      <c r="K12" s="11">
        <f t="shared" si="4"/>
        <v>2.4037319386579203</v>
      </c>
    </row>
    <row r="13" spans="1:11" ht="14.25" customHeight="1" x14ac:dyDescent="0.3">
      <c r="A13" s="9" t="s">
        <v>20</v>
      </c>
      <c r="B13" s="10">
        <f>'00 Raw Data'!C12</f>
        <v>777.08</v>
      </c>
      <c r="C13" s="10">
        <f>'00 Raw Data'!D12</f>
        <v>441.56</v>
      </c>
      <c r="D13" s="10">
        <f>'00 Raw Data'!E12</f>
        <v>144.43</v>
      </c>
      <c r="E13" s="10">
        <f>'00 Raw Data'!F12</f>
        <v>228.86</v>
      </c>
      <c r="F13" s="10">
        <f>'00 Raw Data'!G12</f>
        <v>417.74</v>
      </c>
      <c r="G13" s="11">
        <f t="shared" si="0"/>
        <v>-0.43177021670870441</v>
      </c>
      <c r="H13" s="11">
        <f t="shared" si="1"/>
        <v>-0.67290968384817462</v>
      </c>
      <c r="I13" s="11">
        <f t="shared" si="2"/>
        <v>0.58457384199958462</v>
      </c>
      <c r="J13" s="11">
        <f t="shared" si="3"/>
        <v>0.82530804858865681</v>
      </c>
      <c r="K13" s="11">
        <f t="shared" si="4"/>
        <v>-0.46242343130694397</v>
      </c>
    </row>
    <row r="14" spans="1:11" ht="14.25" customHeight="1" x14ac:dyDescent="0.3">
      <c r="A14" s="9" t="s">
        <v>21</v>
      </c>
      <c r="B14" s="10">
        <f>'00 Raw Data'!C13</f>
        <v>185.13</v>
      </c>
      <c r="C14" s="10">
        <f>'00 Raw Data'!D13</f>
        <v>190.04</v>
      </c>
      <c r="D14" s="10">
        <f>'00 Raw Data'!E13</f>
        <v>141.53</v>
      </c>
      <c r="E14" s="10">
        <f>'00 Raw Data'!F13</f>
        <v>166.85</v>
      </c>
      <c r="F14" s="10">
        <f>'00 Raw Data'!G13</f>
        <v>189.65</v>
      </c>
      <c r="G14" s="11">
        <f t="shared" si="0"/>
        <v>2.6521903527251103E-2</v>
      </c>
      <c r="H14" s="11">
        <f t="shared" si="1"/>
        <v>-0.25526205009471686</v>
      </c>
      <c r="I14" s="11">
        <f t="shared" si="2"/>
        <v>0.17890199957606157</v>
      </c>
      <c r="J14" s="11">
        <f t="shared" si="3"/>
        <v>0.13664968534611935</v>
      </c>
      <c r="K14" s="11">
        <f t="shared" si="4"/>
        <v>2.4415275752174281E-2</v>
      </c>
    </row>
    <row r="15" spans="1:11" ht="14.25" customHeight="1" x14ac:dyDescent="0.3">
      <c r="A15" s="9" t="s">
        <v>22</v>
      </c>
      <c r="B15" s="10">
        <f>'00 Raw Data'!C14</f>
        <v>651.02</v>
      </c>
      <c r="C15" s="10">
        <f>'00 Raw Data'!D14</f>
        <v>537.37</v>
      </c>
      <c r="D15" s="10">
        <f>'00 Raw Data'!E14</f>
        <v>631.86</v>
      </c>
      <c r="E15" s="10">
        <f>'00 Raw Data'!F14</f>
        <v>1023.99</v>
      </c>
      <c r="F15" s="10">
        <f>'00 Raw Data'!G14</f>
        <v>1394.28</v>
      </c>
      <c r="G15" s="11">
        <f t="shared" si="0"/>
        <v>-0.17457220976314089</v>
      </c>
      <c r="H15" s="11">
        <f t="shared" si="1"/>
        <v>0.17583787706794202</v>
      </c>
      <c r="I15" s="11">
        <f t="shared" si="2"/>
        <v>0.6205963346310891</v>
      </c>
      <c r="J15" s="11">
        <f t="shared" si="3"/>
        <v>0.36161485952011246</v>
      </c>
      <c r="K15" s="11">
        <f t="shared" si="4"/>
        <v>1.1416853552886241</v>
      </c>
    </row>
    <row r="16" spans="1:11" ht="14.25" customHeight="1" x14ac:dyDescent="0.3">
      <c r="A16" s="15" t="s">
        <v>81</v>
      </c>
      <c r="B16" s="16">
        <f>SUM(B9:B15)</f>
        <v>4932.8500000000004</v>
      </c>
      <c r="C16" s="16">
        <f>SUM(C9:C15)</f>
        <v>4161.9800000000005</v>
      </c>
      <c r="D16" s="16">
        <f>SUM(D9:D15)</f>
        <v>5239.2099999999991</v>
      </c>
      <c r="E16" s="16">
        <f>SUM(E9:E15)</f>
        <v>8929.17</v>
      </c>
      <c r="F16" s="16">
        <f>SUM(F9:F15)</f>
        <v>12877.11</v>
      </c>
      <c r="G16" s="17">
        <f t="shared" si="0"/>
        <v>-0.15627274293765264</v>
      </c>
      <c r="H16" s="17">
        <f t="shared" si="1"/>
        <v>0.25882632785356935</v>
      </c>
      <c r="I16" s="17">
        <f t="shared" si="2"/>
        <v>0.70429702187925314</v>
      </c>
      <c r="J16" s="17">
        <f t="shared" si="3"/>
        <v>0.44213963895860425</v>
      </c>
      <c r="K16" s="17">
        <f t="shared" si="4"/>
        <v>1.6104807565606087</v>
      </c>
    </row>
    <row r="17" spans="1:11" ht="14.25" customHeight="1" x14ac:dyDescent="0.3">
      <c r="A17" s="15" t="s">
        <v>82</v>
      </c>
      <c r="B17" s="16">
        <f>B5+B6-B9-B10-B11-B12-B15</f>
        <v>69.400000000000091</v>
      </c>
      <c r="C17" s="16">
        <f>C5+C6-C9-C10-C11-C12-C15</f>
        <v>60.060000000000286</v>
      </c>
      <c r="D17" s="16">
        <f>D5+D6-D9-D10-D11-D12-D15</f>
        <v>910.91000000000088</v>
      </c>
      <c r="E17" s="16">
        <f>E5+E6-E9-E10-E11-E12-E15</f>
        <v>1664.2600000000009</v>
      </c>
      <c r="F17" s="16">
        <f>F5+F6-F9-F10-F11-F12-F15</f>
        <v>2821.8100000000022</v>
      </c>
      <c r="G17" s="17">
        <f t="shared" si="0"/>
        <v>-0.1345821325648385</v>
      </c>
      <c r="H17" s="17">
        <f t="shared" si="1"/>
        <v>14.166666666666609</v>
      </c>
      <c r="I17" s="17">
        <f t="shared" si="2"/>
        <v>0.82703011274439764</v>
      </c>
      <c r="J17" s="17">
        <f t="shared" si="3"/>
        <v>0.69553435160371613</v>
      </c>
      <c r="K17" s="17">
        <f t="shared" si="4"/>
        <v>39.660086455331388</v>
      </c>
    </row>
    <row r="18" spans="1:11" ht="14.25" customHeight="1" x14ac:dyDescent="0.3">
      <c r="A18" s="15" t="s">
        <v>83</v>
      </c>
      <c r="B18" s="16">
        <f>B17-B14</f>
        <v>-115.7299999999999</v>
      </c>
      <c r="C18" s="16">
        <f>C17-C14</f>
        <v>-129.97999999999971</v>
      </c>
      <c r="D18" s="16">
        <f>D17-D14</f>
        <v>769.3800000000009</v>
      </c>
      <c r="E18" s="16">
        <f>E17-E14</f>
        <v>1497.410000000001</v>
      </c>
      <c r="F18" s="16">
        <f>F17-F14</f>
        <v>2632.1600000000021</v>
      </c>
      <c r="G18" s="17">
        <f t="shared" si="0"/>
        <v>0.12313142659638653</v>
      </c>
      <c r="H18" s="17">
        <f t="shared" si="1"/>
        <v>-6.9192183412832948</v>
      </c>
      <c r="I18" s="17">
        <f t="shared" si="2"/>
        <v>0.94625542644726823</v>
      </c>
      <c r="J18" s="17">
        <f t="shared" si="3"/>
        <v>0.75780848264670353</v>
      </c>
      <c r="K18" s="17">
        <f t="shared" si="4"/>
        <v>-23.743973040698215</v>
      </c>
    </row>
    <row r="19" spans="1:11" ht="14.25" customHeight="1" x14ac:dyDescent="0.3">
      <c r="A19" s="18" t="s">
        <v>84</v>
      </c>
      <c r="B19" s="19">
        <f>B18+B7-B13</f>
        <v>-829.79</v>
      </c>
      <c r="C19" s="19">
        <f>C18+C7-C13</f>
        <v>-379.31999999999971</v>
      </c>
      <c r="D19" s="19">
        <f>D18+D7-D13</f>
        <v>672.32000000000085</v>
      </c>
      <c r="E19" s="19">
        <f>E18+E7-E13</f>
        <v>1370.860000000001</v>
      </c>
      <c r="F19" s="19">
        <f>F18+F7-F13</f>
        <v>2368.550000000002</v>
      </c>
      <c r="G19" s="20">
        <f t="shared" si="0"/>
        <v>-0.54287229298979289</v>
      </c>
      <c r="H19" s="20">
        <f t="shared" si="1"/>
        <v>-2.7724348834756971</v>
      </c>
      <c r="I19" s="20">
        <f t="shared" si="2"/>
        <v>1.038999286054259</v>
      </c>
      <c r="J19" s="20">
        <f t="shared" si="3"/>
        <v>0.72778401879112398</v>
      </c>
      <c r="K19" s="20">
        <f t="shared" si="4"/>
        <v>-3.854396895600094</v>
      </c>
    </row>
    <row r="20" spans="1:11" ht="14.25" customHeight="1" x14ac:dyDescent="0.3">
      <c r="A20" s="18" t="s">
        <v>85</v>
      </c>
      <c r="B20" s="19">
        <f>'00 Raw Data'!C15</f>
        <v>82.87</v>
      </c>
      <c r="C20" s="19">
        <f>'00 Raw Data'!D15</f>
        <v>-2542.08</v>
      </c>
      <c r="D20" s="19">
        <f>'00 Raw Data'!E15</f>
        <v>-50.85</v>
      </c>
      <c r="E20" s="19">
        <f>'00 Raw Data'!F15</f>
        <v>-102.86</v>
      </c>
      <c r="F20" s="19">
        <f>'00 Raw Data'!G15</f>
        <v>-1178.4000000000001</v>
      </c>
      <c r="G20" s="20">
        <f t="shared" si="0"/>
        <v>-31.67551586822734</v>
      </c>
      <c r="H20" s="20">
        <f t="shared" si="1"/>
        <v>-0.97999669561933533</v>
      </c>
      <c r="I20" s="20">
        <f t="shared" si="2"/>
        <v>1.0228121927236971</v>
      </c>
      <c r="J20" s="20">
        <f t="shared" si="3"/>
        <v>10.456348434765703</v>
      </c>
      <c r="K20" s="20">
        <f t="shared" si="4"/>
        <v>-15.219862435139376</v>
      </c>
    </row>
    <row r="21" spans="1:11" ht="14.25" customHeight="1" x14ac:dyDescent="0.3">
      <c r="A21" s="18" t="s">
        <v>86</v>
      </c>
      <c r="B21" s="19">
        <f>B19-B20</f>
        <v>-912.66</v>
      </c>
      <c r="C21" s="19">
        <f>C19-C20</f>
        <v>2162.7600000000002</v>
      </c>
      <c r="D21" s="19">
        <f>D19-D20</f>
        <v>723.17000000000087</v>
      </c>
      <c r="E21" s="19">
        <f>E19-E20</f>
        <v>1473.7200000000009</v>
      </c>
      <c r="F21" s="19">
        <f>F19-F20</f>
        <v>3546.9500000000021</v>
      </c>
      <c r="G21" s="20">
        <f t="shared" si="0"/>
        <v>-3.3697324304779439</v>
      </c>
      <c r="H21" s="20">
        <f t="shared" si="1"/>
        <v>-0.66562632931994259</v>
      </c>
      <c r="I21" s="20">
        <f t="shared" si="2"/>
        <v>1.0378610838392068</v>
      </c>
      <c r="J21" s="20">
        <f t="shared" si="3"/>
        <v>1.4068004777026843</v>
      </c>
      <c r="K21" s="20">
        <f t="shared" si="4"/>
        <v>-4.8863870444634392</v>
      </c>
    </row>
    <row r="22" spans="1:11" ht="14.25" customHeight="1" x14ac:dyDescent="0.3">
      <c r="A22" s="18" t="s">
        <v>87</v>
      </c>
      <c r="B22" s="19">
        <f>'00 Raw Data'!C16</f>
        <v>0</v>
      </c>
      <c r="C22" s="19">
        <f>'00 Raw Data'!D16</f>
        <v>0</v>
      </c>
      <c r="D22" s="19">
        <f>'00 Raw Data'!E16</f>
        <v>0</v>
      </c>
      <c r="E22" s="19">
        <f>'00 Raw Data'!F16</f>
        <v>-631</v>
      </c>
      <c r="F22" s="19">
        <f>'00 Raw Data'!G16</f>
        <v>-564.05999999999995</v>
      </c>
      <c r="G22" s="20" t="str">
        <f t="shared" si="0"/>
        <v/>
      </c>
      <c r="H22" s="20" t="str">
        <f t="shared" si="1"/>
        <v/>
      </c>
      <c r="I22" s="20" t="str">
        <f t="shared" si="2"/>
        <v/>
      </c>
      <c r="J22" s="20">
        <f t="shared" si="3"/>
        <v>-0.10608557844690976</v>
      </c>
      <c r="K22" s="20" t="str">
        <f t="shared" si="4"/>
        <v/>
      </c>
    </row>
    <row r="23" spans="1:11" ht="14.25" customHeight="1" x14ac:dyDescent="0.3">
      <c r="A23" s="15" t="s">
        <v>88</v>
      </c>
      <c r="B23" s="16">
        <f>B21-B22</f>
        <v>-912.66</v>
      </c>
      <c r="C23" s="16">
        <f>C21-C22</f>
        <v>2162.7600000000002</v>
      </c>
      <c r="D23" s="16">
        <f>D21-D22</f>
        <v>723.17000000000087</v>
      </c>
      <c r="E23" s="16">
        <f>E21-E22</f>
        <v>2104.7200000000012</v>
      </c>
      <c r="F23" s="16">
        <f>F21-F22</f>
        <v>4111.010000000002</v>
      </c>
      <c r="G23" s="17">
        <f t="shared" si="0"/>
        <v>-3.3697324304779439</v>
      </c>
      <c r="H23" s="17">
        <f t="shared" si="1"/>
        <v>-0.66562632931994259</v>
      </c>
      <c r="I23" s="17">
        <f t="shared" si="2"/>
        <v>1.9104083410539687</v>
      </c>
      <c r="J23" s="17">
        <f t="shared" si="3"/>
        <v>0.95323368429054689</v>
      </c>
      <c r="K23" s="17">
        <f t="shared" si="4"/>
        <v>-5.5044266210856199</v>
      </c>
    </row>
    <row r="24" spans="1:11" ht="14.25" customHeight="1" x14ac:dyDescent="0.3">
      <c r="A24" s="18" t="s">
        <v>27</v>
      </c>
      <c r="B24" s="19">
        <f>'00 Raw Data'!C17</f>
        <v>1.67</v>
      </c>
      <c r="C24" s="19">
        <f>'00 Raw Data'!D17</f>
        <v>-5.71</v>
      </c>
      <c r="D24" s="19">
        <f>'00 Raw Data'!E17</f>
        <v>3.43</v>
      </c>
      <c r="E24" s="19">
        <f>'00 Raw Data'!F17</f>
        <v>5.98</v>
      </c>
      <c r="F24" s="19">
        <f>'00 Raw Data'!G17</f>
        <v>1.34</v>
      </c>
      <c r="G24" s="20">
        <f t="shared" si="0"/>
        <v>-4.4191616766467066</v>
      </c>
      <c r="H24" s="20">
        <f t="shared" si="1"/>
        <v>-1.6007005253940456</v>
      </c>
      <c r="I24" s="20">
        <f t="shared" si="2"/>
        <v>0.7434402332361516</v>
      </c>
      <c r="J24" s="20">
        <f t="shared" si="3"/>
        <v>-0.77591973244147161</v>
      </c>
      <c r="K24" s="20">
        <f t="shared" si="4"/>
        <v>-0.19760479041916157</v>
      </c>
    </row>
    <row r="25" spans="1:11" ht="14.25" customHeight="1" x14ac:dyDescent="0.3">
      <c r="A25" s="15" t="s">
        <v>89</v>
      </c>
      <c r="B25" s="16">
        <f>B23+B24</f>
        <v>-910.99</v>
      </c>
      <c r="C25" s="16">
        <f>C23+C24</f>
        <v>2157.0500000000002</v>
      </c>
      <c r="D25" s="16">
        <f>D23+D24</f>
        <v>726.60000000000082</v>
      </c>
      <c r="E25" s="16">
        <f>E23+E24</f>
        <v>2110.7000000000012</v>
      </c>
      <c r="F25" s="16">
        <f>F23+F24</f>
        <v>4112.3500000000022</v>
      </c>
      <c r="G25" s="17">
        <f t="shared" si="0"/>
        <v>-3.3678086477348819</v>
      </c>
      <c r="H25" s="17">
        <f t="shared" si="1"/>
        <v>-0.66315106279409342</v>
      </c>
      <c r="I25" s="17">
        <f t="shared" si="2"/>
        <v>1.9048995320671605</v>
      </c>
      <c r="J25" s="17">
        <f t="shared" si="3"/>
        <v>0.94833467570000463</v>
      </c>
      <c r="K25" s="17">
        <f t="shared" si="4"/>
        <v>-5.5141549303505002</v>
      </c>
    </row>
    <row r="26" spans="1:11" ht="14.25" customHeight="1" x14ac:dyDescent="0.3">
      <c r="A26" s="15"/>
      <c r="B26" s="16"/>
      <c r="C26" s="16"/>
      <c r="D26" s="16"/>
      <c r="E26" s="16"/>
      <c r="F26" s="16"/>
      <c r="G26" s="17"/>
      <c r="H26" s="17"/>
      <c r="I26" s="17"/>
      <c r="J26" s="17"/>
      <c r="K26" s="17"/>
    </row>
    <row r="27" spans="1:11" ht="14.25" customHeight="1" x14ac:dyDescent="0.3">
      <c r="A27" s="12"/>
      <c r="B27" s="13"/>
      <c r="C27" s="13"/>
      <c r="D27" s="13"/>
      <c r="E27" s="13"/>
      <c r="F27" s="13"/>
      <c r="G27" s="14"/>
      <c r="H27" s="14"/>
      <c r="I27" s="14"/>
      <c r="J27" s="14"/>
      <c r="K27" s="14"/>
    </row>
    <row r="28" spans="1:11" ht="14.25" customHeight="1" x14ac:dyDescent="0.3">
      <c r="A28" s="18"/>
      <c r="B28" s="19"/>
      <c r="C28" s="19"/>
      <c r="D28" s="19"/>
      <c r="E28" s="19"/>
      <c r="F28" s="19"/>
      <c r="G28" s="20"/>
      <c r="H28" s="20"/>
      <c r="I28" s="20"/>
      <c r="J28" s="20"/>
      <c r="K28" s="20"/>
    </row>
    <row r="29" spans="1:11" ht="14.25" customHeight="1" x14ac:dyDescent="0.3">
      <c r="A29" s="9"/>
      <c r="B29" s="10"/>
      <c r="C29" s="10"/>
      <c r="D29" s="10"/>
      <c r="E29" s="10"/>
      <c r="F29" s="10"/>
      <c r="G29" s="11"/>
      <c r="H29" s="11"/>
      <c r="I29" s="11"/>
      <c r="J29" s="11"/>
      <c r="K29" s="11"/>
    </row>
    <row r="30" spans="1:11" ht="14.25" customHeight="1" x14ac:dyDescent="0.3">
      <c r="A30" s="18"/>
      <c r="B30" s="19"/>
      <c r="C30" s="19"/>
      <c r="D30" s="19"/>
      <c r="E30" s="19"/>
      <c r="F30" s="19"/>
      <c r="G30" s="20"/>
      <c r="H30" s="20"/>
      <c r="I30" s="20"/>
      <c r="J30" s="20"/>
      <c r="K30" s="20"/>
    </row>
  </sheetData>
  <mergeCells count="2">
    <mergeCell ref="A2:K2"/>
    <mergeCell ref="A1:K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7"/>
  <sheetViews>
    <sheetView showGridLines="0"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B8" sqref="B8"/>
    </sheetView>
  </sheetViews>
  <sheetFormatPr defaultColWidth="8.6640625" defaultRowHeight="14.25" customHeight="1" x14ac:dyDescent="0.3"/>
  <cols>
    <col min="1" max="1" width="34.88671875" bestFit="1" customWidth="1"/>
    <col min="2" max="6" width="14" customWidth="1"/>
    <col min="7" max="7" width="55" customWidth="1"/>
    <col min="8" max="8" width="65" customWidth="1"/>
  </cols>
  <sheetData>
    <row r="1" spans="1:8" ht="21" customHeight="1" x14ac:dyDescent="0.3">
      <c r="A1" s="28" t="s">
        <v>90</v>
      </c>
      <c r="B1" s="30"/>
      <c r="C1" s="30"/>
      <c r="D1" s="30"/>
      <c r="E1" s="30"/>
      <c r="F1" s="30"/>
      <c r="G1" s="30"/>
      <c r="H1" s="30"/>
    </row>
    <row r="2" spans="1:8" ht="14.25" customHeight="1" x14ac:dyDescent="0.3">
      <c r="A2" s="29" t="s">
        <v>91</v>
      </c>
      <c r="B2" s="30"/>
      <c r="C2" s="30"/>
      <c r="D2" s="30"/>
      <c r="E2" s="30"/>
      <c r="F2" s="30"/>
      <c r="G2" s="30"/>
      <c r="H2" s="30"/>
    </row>
    <row r="3" spans="1:8" ht="14.4" customHeight="1" x14ac:dyDescent="0.3"/>
    <row r="4" spans="1:8" ht="14.25" customHeight="1" x14ac:dyDescent="0.3">
      <c r="A4" s="2" t="s">
        <v>92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79</v>
      </c>
      <c r="H4" s="2" t="s">
        <v>93</v>
      </c>
    </row>
    <row r="5" spans="1:8" ht="14.25" customHeight="1" x14ac:dyDescent="0.3">
      <c r="A5" s="9" t="s">
        <v>94</v>
      </c>
      <c r="B5" s="11" t="str">
        <f>""</f>
        <v/>
      </c>
      <c r="C5" s="11">
        <f>IFERROR(('01 Income Statement'!C5-'01 Income Statement'!B5)/'01 Income Statement'!B5,"")</f>
        <v>-0.10999368618582737</v>
      </c>
      <c r="D5" s="11">
        <f>IFERROR(('01 Income Statement'!D5-'01 Income Statement'!C5)/'01 Income Statement'!C5,"")</f>
        <v>0.64898788629053705</v>
      </c>
      <c r="E5" s="11">
        <f>IFERROR(('01 Income Statement'!E5-'01 Income Statement'!D5)/'01 Income Statement'!D5,"")</f>
        <v>0.74168502061069352</v>
      </c>
      <c r="F5" s="11">
        <f>IFERROR(('01 Income Statement'!F5-'01 Income Statement'!E5)/'01 Income Statement'!E5,"")</f>
        <v>0.48141828058573449</v>
      </c>
      <c r="G5" s="9" t="s">
        <v>95</v>
      </c>
      <c r="H5" s="9" t="s">
        <v>95</v>
      </c>
    </row>
    <row r="6" spans="1:8" ht="27.75" customHeight="1" x14ac:dyDescent="0.3">
      <c r="A6" s="9" t="s">
        <v>96</v>
      </c>
      <c r="B6" s="11">
        <f>IFERROR('01 Income Statement'!B17/'01 Income Statement'!B5,"")</f>
        <v>1.7457318867739453E-2</v>
      </c>
      <c r="C6" s="11">
        <f>IFERROR('01 Income Statement'!C17/'01 Income Statement'!C5,"")</f>
        <v>1.6975020773626903E-2</v>
      </c>
      <c r="D6" s="11">
        <f>IFERROR('01 Income Statement'!D17/'01 Income Statement'!D5,"")</f>
        <v>0.15612878898249177</v>
      </c>
      <c r="E6" s="11">
        <f>IFERROR('01 Income Statement'!E17/'01 Income Statement'!E5,"")</f>
        <v>0.16377932609037954</v>
      </c>
      <c r="F6" s="11">
        <f>IFERROR('01 Income Statement'!F17/'01 Income Statement'!F5,"")</f>
        <v>0.18745109136829924</v>
      </c>
      <c r="G6" s="9" t="s">
        <v>97</v>
      </c>
      <c r="H6" s="9" t="s">
        <v>97</v>
      </c>
    </row>
    <row r="7" spans="1:8" ht="14.25" customHeight="1" x14ac:dyDescent="0.3">
      <c r="A7" s="9" t="s">
        <v>98</v>
      </c>
      <c r="B7" s="11">
        <f>IFERROR('01 Income Statement'!B18/'01 Income Statement'!B5,"")</f>
        <v>-2.911146271705306E-2</v>
      </c>
      <c r="C7" s="11">
        <f>IFERROR('01 Income Statement'!C18/'01 Income Statement'!C5,"")</f>
        <v>-3.6736816519414073E-2</v>
      </c>
      <c r="D7" s="11">
        <f>IFERROR('01 Income Statement'!D18/'01 Income Statement'!D5,"")</f>
        <v>0.13187073110115108</v>
      </c>
      <c r="E7" s="11">
        <f>IFERROR('01 Income Statement'!E18/'01 Income Statement'!E5,"")</f>
        <v>0.1473596677688554</v>
      </c>
      <c r="F7" s="11">
        <f>IFERROR('01 Income Statement'!F18/'01 Income Statement'!F5,"")</f>
        <v>0.17485275927719535</v>
      </c>
      <c r="G7" s="9" t="s">
        <v>99</v>
      </c>
      <c r="H7" s="9" t="s">
        <v>99</v>
      </c>
    </row>
    <row r="8" spans="1:8" ht="27.75" customHeight="1" x14ac:dyDescent="0.3">
      <c r="A8" s="9" t="s">
        <v>100</v>
      </c>
      <c r="B8" s="11">
        <f>IFERROR('01 Income Statement'!B21/'01 Income Statement'!B5,"")</f>
        <v>-0.22957632042984247</v>
      </c>
      <c r="C8" s="11">
        <f>IFERROR('01 Income Statement'!C21/'01 Income Statement'!C5,"")</f>
        <v>0.61127032847767482</v>
      </c>
      <c r="D8" s="11">
        <f>IFERROR('01 Income Statement'!D21/'01 Income Statement'!D5,"")</f>
        <v>0.12395039721648526</v>
      </c>
      <c r="E8" s="11">
        <f>IFERROR('01 Income Statement'!E21/'01 Income Statement'!E5,"")</f>
        <v>0.14502834199338696</v>
      </c>
      <c r="F8" s="11">
        <f>IFERROR('01 Income Statement'!F21/'01 Income Statement'!F5,"")</f>
        <v>0.23562169264719768</v>
      </c>
      <c r="G8" s="9" t="s">
        <v>101</v>
      </c>
      <c r="H8" s="9" t="s">
        <v>101</v>
      </c>
    </row>
    <row r="9" spans="1:8" ht="27.75" customHeight="1" x14ac:dyDescent="0.3">
      <c r="A9" s="9" t="s">
        <v>102</v>
      </c>
      <c r="B9" s="11">
        <f>IFERROR('01 Income Statement'!B23/'01 Income Statement'!B5,"")</f>
        <v>-0.22957632042984247</v>
      </c>
      <c r="C9" s="11">
        <f>IFERROR('01 Income Statement'!C23/'01 Income Statement'!C5,"")</f>
        <v>0.61127032847767482</v>
      </c>
      <c r="D9" s="11">
        <f>IFERROR('01 Income Statement'!D23/'01 Income Statement'!D5,"")</f>
        <v>0.12395039721648526</v>
      </c>
      <c r="E9" s="11">
        <f>IFERROR('01 Income Statement'!E23/'01 Income Statement'!E5,"")</f>
        <v>0.20712486222642115</v>
      </c>
      <c r="F9" s="11">
        <f>IFERROR('01 Income Statement'!F23/'01 Income Statement'!F5,"")</f>
        <v>0.27309184924782026</v>
      </c>
      <c r="G9" s="9" t="s">
        <v>103</v>
      </c>
      <c r="H9" s="9" t="s">
        <v>103</v>
      </c>
    </row>
    <row r="10" spans="1:8" ht="27.75" customHeight="1" x14ac:dyDescent="0.3">
      <c r="A10" s="9" t="s">
        <v>104</v>
      </c>
      <c r="B10" s="11">
        <f>IFERROR('01 Income Statement'!B7/'01 Income Statement'!B19,"")</f>
        <v>-7.5946926330758391E-2</v>
      </c>
      <c r="C10" s="11">
        <f>IFERROR('01 Income Statement'!C7/'01 Income Statement'!C19,"")</f>
        <v>-0.50674891911842279</v>
      </c>
      <c r="D10" s="11">
        <f>IFERROR('01 Income Statement'!D7/'01 Income Statement'!D19,"")</f>
        <v>7.045752022846255E-2</v>
      </c>
      <c r="E10" s="11">
        <f>IFERROR('01 Income Statement'!E7/'01 Income Statement'!E19,"")</f>
        <v>7.4631982842886899E-2</v>
      </c>
      <c r="F10" s="11">
        <f>IFERROR('01 Income Statement'!F7/'01 Income Statement'!F19,"")</f>
        <v>6.5073568216841474E-2</v>
      </c>
      <c r="G10" s="9" t="s">
        <v>105</v>
      </c>
      <c r="H10" s="9" t="s">
        <v>105</v>
      </c>
    </row>
    <row r="11" spans="1:8" ht="27.75" customHeight="1" x14ac:dyDescent="0.3">
      <c r="A11" s="9" t="s">
        <v>106</v>
      </c>
      <c r="B11" s="11">
        <f>IFERROR('01 Income Statement'!B20/'01 Income Statement'!B21,"")</f>
        <v>-9.0800517169592185E-2</v>
      </c>
      <c r="C11" s="11">
        <f>IFERROR('01 Income Statement'!C20/'01 Income Statement'!C21,"")</f>
        <v>-1.1753870054929811</v>
      </c>
      <c r="D11" s="11">
        <f>IFERROR('01 Income Statement'!D20/'01 Income Statement'!D21,"")</f>
        <v>-7.0315416845278339E-2</v>
      </c>
      <c r="E11" s="11">
        <f>IFERROR('01 Income Statement'!E20/'01 Income Statement'!E21,"")</f>
        <v>-6.9796162093206257E-2</v>
      </c>
      <c r="F11" s="11">
        <f>IFERROR('01 Income Statement'!F20/'01 Income Statement'!F21,"")</f>
        <v>-0.33222909823933222</v>
      </c>
      <c r="G11" s="9" t="s">
        <v>107</v>
      </c>
      <c r="H11" s="9" t="s">
        <v>107</v>
      </c>
    </row>
    <row r="12" spans="1:8" ht="27.75" customHeight="1" x14ac:dyDescent="0.3">
      <c r="A12" s="9" t="s">
        <v>108</v>
      </c>
      <c r="B12" s="11">
        <f>IFERROR('01 Income Statement'!B22/'01 Income Statement'!B21,"")</f>
        <v>0</v>
      </c>
      <c r="C12" s="11">
        <f>IFERROR('01 Income Statement'!C22/'01 Income Statement'!C21,"")</f>
        <v>0</v>
      </c>
      <c r="D12" s="11">
        <f>IFERROR('01 Income Statement'!D22/'01 Income Statement'!D21,"")</f>
        <v>0</v>
      </c>
      <c r="E12" s="11">
        <f>IFERROR('01 Income Statement'!E22/'01 Income Statement'!E21,"")</f>
        <v>-0.42816817305865401</v>
      </c>
      <c r="F12" s="11">
        <f>IFERROR('01 Income Statement'!F22/'01 Income Statement'!F21,"")</f>
        <v>-0.15902676947800212</v>
      </c>
      <c r="G12" s="9" t="s">
        <v>109</v>
      </c>
      <c r="H12" s="9" t="s">
        <v>109</v>
      </c>
    </row>
    <row r="13" spans="1:8" ht="27.75" customHeight="1" x14ac:dyDescent="0.3">
      <c r="A13" s="9" t="s">
        <v>110</v>
      </c>
      <c r="B13" s="21">
        <f>IFERROR('01 Income Statement'!B18/'01 Income Statement'!B13,"")</f>
        <v>-0.14892932516600593</v>
      </c>
      <c r="C13" s="21">
        <f>IFERROR('01 Income Statement'!C18/'01 Income Statement'!C13,"")</f>
        <v>-0.29436543165141704</v>
      </c>
      <c r="D13" s="21">
        <f>IFERROR('01 Income Statement'!D18/'01 Income Statement'!D13,"")</f>
        <v>5.3270096240393334</v>
      </c>
      <c r="E13" s="21">
        <f>IFERROR('01 Income Statement'!E18/'01 Income Statement'!E13,"")</f>
        <v>6.5429083282356064</v>
      </c>
      <c r="F13" s="21">
        <f>IFERROR('01 Income Statement'!F18/'01 Income Statement'!F13,"")</f>
        <v>6.3009527457270122</v>
      </c>
      <c r="G13" s="9" t="s">
        <v>111</v>
      </c>
      <c r="H13" s="9" t="s">
        <v>111</v>
      </c>
    </row>
    <row r="14" spans="1:8" ht="14.25" customHeight="1" x14ac:dyDescent="0.3">
      <c r="A14" s="9" t="s">
        <v>112</v>
      </c>
      <c r="B14" s="11">
        <f>IFERROR('01 Income Statement'!B13/'01 Income Statement'!B5,"")</f>
        <v>0.19547166204240571</v>
      </c>
      <c r="C14" s="11">
        <f>IFERROR('01 Income Statement'!C13/'01 Income Statement'!C5,"")</f>
        <v>0.12480003617720045</v>
      </c>
      <c r="D14" s="11">
        <f>IFERROR('01 Income Statement'!D13/'01 Income Statement'!D5,"")</f>
        <v>2.4755114108683914E-2</v>
      </c>
      <c r="E14" s="11">
        <f>IFERROR('01 Income Statement'!E13/'01 Income Statement'!E5,"")</f>
        <v>2.2522043772634233E-2</v>
      </c>
      <c r="F14" s="11">
        <f>IFERROR('01 Income Statement'!F13/'01 Income Statement'!F5,"")</f>
        <v>2.7750209584696796E-2</v>
      </c>
      <c r="G14" s="9" t="s">
        <v>113</v>
      </c>
      <c r="H14" s="9" t="s">
        <v>113</v>
      </c>
    </row>
    <row r="15" spans="1:8" ht="27.75" customHeight="1" x14ac:dyDescent="0.3">
      <c r="A15" s="9" t="s">
        <v>114</v>
      </c>
      <c r="B15" s="11">
        <f>IFERROR(('01 Income Statement'!B16-'01 Income Statement'!B13)/'01 Income Statement'!B5,"")</f>
        <v>1.0453689053456123</v>
      </c>
      <c r="C15" s="11">
        <f>IFERROR(('01 Income Statement'!C16-'01 Income Statement'!C13)/'01 Income Statement'!C5,"")</f>
        <v>1.0515185945157628</v>
      </c>
      <c r="D15" s="11">
        <f>IFERROR(('01 Income Statement'!D16-'01 Income Statement'!D13)/'01 Income Statement'!D5,"")</f>
        <v>0.87323866411853912</v>
      </c>
      <c r="E15" s="11">
        <f>IFERROR(('01 Income Statement'!E16-'01 Income Statement'!E13)/'01 Income Statement'!E5,"")</f>
        <v>0.85619489056841436</v>
      </c>
      <c r="F15" s="11">
        <f>IFERROR(('01 Income Statement'!F16-'01 Income Statement'!F13)/'01 Income Statement'!F5,"")</f>
        <v>0.82766823572864401</v>
      </c>
      <c r="G15" s="9" t="s">
        <v>115</v>
      </c>
      <c r="H15" s="9" t="s">
        <v>115</v>
      </c>
    </row>
    <row r="16" spans="1:8" ht="14.25" customHeight="1" x14ac:dyDescent="0.3">
      <c r="A16" s="9" t="s">
        <v>116</v>
      </c>
      <c r="B16" s="11">
        <f>IFERROR('01 Income Statement'!B14/'01 Income Statement'!B5,"")</f>
        <v>4.656878158479251E-2</v>
      </c>
      <c r="C16" s="11">
        <f>IFERROR('01 Income Statement'!C14/'01 Income Statement'!C5,"")</f>
        <v>5.3711837293040979E-2</v>
      </c>
      <c r="D16" s="11">
        <f>IFERROR('01 Income Statement'!D14/'01 Income Statement'!D5,"")</f>
        <v>2.4258057881340681E-2</v>
      </c>
      <c r="E16" s="11">
        <f>IFERROR('01 Income Statement'!E14/'01 Income Statement'!E5,"")</f>
        <v>1.6419658321524169E-2</v>
      </c>
      <c r="F16" s="11">
        <f>IFERROR('01 Income Statement'!F14/'01 Income Statement'!F5,"")</f>
        <v>1.2598332091103911E-2</v>
      </c>
      <c r="G16" s="9" t="s">
        <v>117</v>
      </c>
      <c r="H16" s="9" t="s">
        <v>117</v>
      </c>
    </row>
    <row r="17" spans="1:8" ht="27.75" customHeight="1" x14ac:dyDescent="0.3">
      <c r="A17" s="9" t="s">
        <v>118</v>
      </c>
      <c r="B17" s="11" t="str">
        <f>""</f>
        <v/>
      </c>
      <c r="C17" s="11">
        <f>IFERROR(('01 Income Statement'!C23-'01 Income Statement'!B23)/'01 Income Statement'!B23,"")</f>
        <v>-3.3697324304779439</v>
      </c>
      <c r="D17" s="11">
        <f>IFERROR(('01 Income Statement'!D23-'01 Income Statement'!C23)/'01 Income Statement'!C23,"")</f>
        <v>-0.66562632931994259</v>
      </c>
      <c r="E17" s="11">
        <f>IFERROR(('01 Income Statement'!E23-'01 Income Statement'!D23)/'01 Income Statement'!D23,"")</f>
        <v>1.9104083410539687</v>
      </c>
      <c r="F17" s="11">
        <f>IFERROR(('01 Income Statement'!F23-'01 Income Statement'!E23)/'01 Income Statement'!E23,"")</f>
        <v>0.95323368429054689</v>
      </c>
      <c r="G17" s="9" t="s">
        <v>119</v>
      </c>
      <c r="H17" s="9" t="s">
        <v>119</v>
      </c>
    </row>
  </sheetData>
  <mergeCells count="2">
    <mergeCell ref="A2:H2"/>
    <mergeCell ref="A1:H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9"/>
  <sheetViews>
    <sheetView showGridLines="0" zoomScaleNormal="100" workbookViewId="0">
      <pane xSplit="1" ySplit="4" topLeftCell="B10" activePane="bottomRight" state="frozen"/>
      <selection pane="topRight" activeCell="B1" sqref="B1"/>
      <selection pane="bottomLeft" activeCell="A5" sqref="A5"/>
      <selection pane="bottomRight" activeCell="A32" sqref="A32"/>
    </sheetView>
  </sheetViews>
  <sheetFormatPr defaultColWidth="8.6640625" defaultRowHeight="14.25" customHeight="1" x14ac:dyDescent="0.3"/>
  <cols>
    <col min="1" max="1" width="58" customWidth="1"/>
    <col min="2" max="11" width="14" customWidth="1"/>
  </cols>
  <sheetData>
    <row r="1" spans="1:11" ht="21" customHeight="1" x14ac:dyDescent="0.3">
      <c r="A1" s="28" t="s">
        <v>120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25" customHeight="1" x14ac:dyDescent="0.3">
      <c r="A2" s="29" t="s">
        <v>121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4.4" customHeight="1" x14ac:dyDescent="0.3"/>
    <row r="4" spans="1:11" ht="27.75" customHeight="1" x14ac:dyDescent="0.3">
      <c r="A4" s="2" t="s">
        <v>74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122</v>
      </c>
    </row>
    <row r="5" spans="1:11" ht="14.25" customHeight="1" x14ac:dyDescent="0.3">
      <c r="A5" s="9" t="s">
        <v>34</v>
      </c>
      <c r="B5" s="10">
        <f>'00 Raw Data'!C22</f>
        <v>466.78</v>
      </c>
      <c r="C5" s="10">
        <f>'00 Raw Data'!D22</f>
        <v>425.07</v>
      </c>
      <c r="D5" s="10">
        <f>'00 Raw Data'!E22</f>
        <v>554.87</v>
      </c>
      <c r="E5" s="10">
        <f>'00 Raw Data'!F22</f>
        <v>579.30999999999995</v>
      </c>
      <c r="F5" s="10">
        <f>'00 Raw Data'!G22</f>
        <v>758.81</v>
      </c>
      <c r="G5" s="11">
        <f t="shared" ref="G5:G49" si="0">IFERROR((C5-B5)/B5,"")</f>
        <v>-8.9356870474313344E-2</v>
      </c>
      <c r="H5" s="11">
        <f t="shared" ref="H5:H49" si="1">IFERROR((D5-C5)/C5,"")</f>
        <v>0.30536146987554996</v>
      </c>
      <c r="I5" s="11">
        <f t="shared" ref="I5:I49" si="2">IFERROR((E5-D5)/D5,"")</f>
        <v>4.4046353199848509E-2</v>
      </c>
      <c r="J5" s="11">
        <f t="shared" ref="J5:J49" si="3">IFERROR((F5-E5)/E5,"")</f>
        <v>0.3098513749115327</v>
      </c>
      <c r="K5" s="11">
        <f t="shared" ref="K5:K49" si="4">IFERROR(F5/B5-1,"")</f>
        <v>0.62562663353185655</v>
      </c>
    </row>
    <row r="6" spans="1:11" ht="14.25" customHeight="1" x14ac:dyDescent="0.3">
      <c r="A6" s="9" t="s">
        <v>36</v>
      </c>
      <c r="B6" s="10">
        <f>'00 Raw Data'!C23</f>
        <v>58.96</v>
      </c>
      <c r="C6" s="10">
        <f>'00 Raw Data'!D23</f>
        <v>9.19</v>
      </c>
      <c r="D6" s="10">
        <f>'00 Raw Data'!E23</f>
        <v>35.619999999999997</v>
      </c>
      <c r="E6" s="10">
        <f>'00 Raw Data'!F23</f>
        <v>36.06</v>
      </c>
      <c r="F6" s="10">
        <f>'00 Raw Data'!G23</f>
        <v>293.95999999999998</v>
      </c>
      <c r="G6" s="11">
        <f t="shared" si="0"/>
        <v>-0.84413161465400277</v>
      </c>
      <c r="H6" s="11">
        <f t="shared" si="1"/>
        <v>2.8759521218715998</v>
      </c>
      <c r="I6" s="11">
        <f t="shared" si="2"/>
        <v>1.2352610892757014E-2</v>
      </c>
      <c r="J6" s="11">
        <f t="shared" si="3"/>
        <v>7.1519689406544638</v>
      </c>
      <c r="K6" s="11">
        <f t="shared" si="4"/>
        <v>3.9857530529172314</v>
      </c>
    </row>
    <row r="7" spans="1:11" ht="14.25" customHeight="1" x14ac:dyDescent="0.3">
      <c r="A7" s="9" t="s">
        <v>37</v>
      </c>
      <c r="B7" s="10">
        <f>'00 Raw Data'!C24</f>
        <v>7.63</v>
      </c>
      <c r="C7" s="10">
        <f>'00 Raw Data'!D24</f>
        <v>0.87</v>
      </c>
      <c r="D7" s="10">
        <f>'00 Raw Data'!E24</f>
        <v>4.28</v>
      </c>
      <c r="E7" s="10">
        <f>'00 Raw Data'!F24</f>
        <v>59.59</v>
      </c>
      <c r="F7" s="10">
        <f>'00 Raw Data'!G24</f>
        <v>137.88</v>
      </c>
      <c r="G7" s="11">
        <f t="shared" si="0"/>
        <v>-0.88597640891218876</v>
      </c>
      <c r="H7" s="11">
        <f t="shared" si="1"/>
        <v>3.9195402298850577</v>
      </c>
      <c r="I7" s="11">
        <f t="shared" si="2"/>
        <v>12.922897196261681</v>
      </c>
      <c r="J7" s="11">
        <f t="shared" si="3"/>
        <v>1.3138110421211611</v>
      </c>
      <c r="K7" s="11">
        <f t="shared" si="4"/>
        <v>17.070773263433814</v>
      </c>
    </row>
    <row r="8" spans="1:11" ht="14.25" customHeight="1" x14ac:dyDescent="0.3">
      <c r="A8" s="9" t="s">
        <v>38</v>
      </c>
      <c r="B8" s="10">
        <f>'00 Raw Data'!C25</f>
        <v>124.7</v>
      </c>
      <c r="C8" s="10">
        <f>'00 Raw Data'!D25</f>
        <v>62.9</v>
      </c>
      <c r="D8" s="10">
        <f>'00 Raw Data'!E25</f>
        <v>55.35</v>
      </c>
      <c r="E8" s="10">
        <f>'00 Raw Data'!F25</f>
        <v>91.35</v>
      </c>
      <c r="F8" s="10">
        <f>'00 Raw Data'!G25</f>
        <v>155.33000000000001</v>
      </c>
      <c r="G8" s="11">
        <f t="shared" si="0"/>
        <v>-0.49558941459502809</v>
      </c>
      <c r="H8" s="11">
        <f t="shared" si="1"/>
        <v>-0.1200317965023847</v>
      </c>
      <c r="I8" s="11">
        <f t="shared" si="2"/>
        <v>0.65040650406504052</v>
      </c>
      <c r="J8" s="11">
        <f t="shared" si="3"/>
        <v>0.70038314176245231</v>
      </c>
      <c r="K8" s="11">
        <f t="shared" si="4"/>
        <v>0.2456295108259825</v>
      </c>
    </row>
    <row r="9" spans="1:11" ht="14.25" customHeight="1" x14ac:dyDescent="0.3">
      <c r="A9" s="9" t="s">
        <v>39</v>
      </c>
      <c r="B9" s="10">
        <f>'00 Raw Data'!C26</f>
        <v>4.42</v>
      </c>
      <c r="C9" s="10">
        <f>'00 Raw Data'!D26</f>
        <v>3.43</v>
      </c>
      <c r="D9" s="10">
        <f>'00 Raw Data'!E26</f>
        <v>3.51</v>
      </c>
      <c r="E9" s="10">
        <f>'00 Raw Data'!F26</f>
        <v>16.350000000000001</v>
      </c>
      <c r="F9" s="10">
        <f>'00 Raw Data'!G26</f>
        <v>13.57</v>
      </c>
      <c r="G9" s="11">
        <f t="shared" si="0"/>
        <v>-0.22398190045248864</v>
      </c>
      <c r="H9" s="11">
        <f t="shared" si="1"/>
        <v>2.3323615160349743E-2</v>
      </c>
      <c r="I9" s="11">
        <f t="shared" si="2"/>
        <v>3.6581196581196589</v>
      </c>
      <c r="J9" s="11">
        <f t="shared" si="3"/>
        <v>-0.17003058103975541</v>
      </c>
      <c r="K9" s="11">
        <f t="shared" si="4"/>
        <v>2.070135746606335</v>
      </c>
    </row>
    <row r="10" spans="1:11" ht="14.25" customHeight="1" x14ac:dyDescent="0.3">
      <c r="A10" s="9" t="s">
        <v>40</v>
      </c>
      <c r="B10" s="10">
        <f>'00 Raw Data'!C27</f>
        <v>1751.98</v>
      </c>
      <c r="C10" s="10">
        <f>'00 Raw Data'!D27</f>
        <v>1753.9</v>
      </c>
      <c r="D10" s="10">
        <f>'00 Raw Data'!E27</f>
        <v>370.25</v>
      </c>
      <c r="E10" s="10">
        <f>'00 Raw Data'!F27</f>
        <v>1277.7</v>
      </c>
      <c r="F10" s="10">
        <f>'00 Raw Data'!G27</f>
        <v>2123.2800000000002</v>
      </c>
      <c r="G10" s="11">
        <f t="shared" si="0"/>
        <v>1.0959029212662661E-3</v>
      </c>
      <c r="H10" s="11">
        <f t="shared" si="1"/>
        <v>-0.78889902502993325</v>
      </c>
      <c r="I10" s="11">
        <f t="shared" si="2"/>
        <v>2.4509115462525322</v>
      </c>
      <c r="J10" s="11">
        <f t="shared" si="3"/>
        <v>0.66179854425921592</v>
      </c>
      <c r="K10" s="11">
        <f t="shared" si="4"/>
        <v>0.21193164305528622</v>
      </c>
    </row>
    <row r="11" spans="1:11" ht="14.25" customHeight="1" x14ac:dyDescent="0.3">
      <c r="A11" s="9" t="s">
        <v>41</v>
      </c>
      <c r="B11" s="10">
        <f>'00 Raw Data'!C28</f>
        <v>52.51</v>
      </c>
      <c r="C11" s="10">
        <f>'00 Raw Data'!D28</f>
        <v>1244.42</v>
      </c>
      <c r="D11" s="10">
        <f>'00 Raw Data'!E28</f>
        <v>95.07</v>
      </c>
      <c r="E11" s="10">
        <f>'00 Raw Data'!F28</f>
        <v>139.06</v>
      </c>
      <c r="F11" s="10">
        <f>'00 Raw Data'!G28</f>
        <v>525.64</v>
      </c>
      <c r="G11" s="11">
        <f t="shared" si="0"/>
        <v>22.69872405256142</v>
      </c>
      <c r="H11" s="11">
        <f t="shared" si="1"/>
        <v>-0.92360296362964278</v>
      </c>
      <c r="I11" s="11">
        <f t="shared" si="2"/>
        <v>0.46271168612601254</v>
      </c>
      <c r="J11" s="11">
        <f t="shared" si="3"/>
        <v>2.7799511002444985</v>
      </c>
      <c r="K11" s="11">
        <f t="shared" si="4"/>
        <v>9.0102837554751485</v>
      </c>
    </row>
    <row r="12" spans="1:11" ht="14.25" customHeight="1" x14ac:dyDescent="0.3">
      <c r="A12" s="9" t="s">
        <v>123</v>
      </c>
      <c r="B12" s="10">
        <f>'00 Raw Data'!C29</f>
        <v>228.67</v>
      </c>
      <c r="C12" s="10">
        <f>'00 Raw Data'!D29</f>
        <v>383.39</v>
      </c>
      <c r="D12" s="10">
        <f>'00 Raw Data'!E29</f>
        <v>871.82</v>
      </c>
      <c r="E12" s="10">
        <f>'00 Raw Data'!F29</f>
        <v>1062.67</v>
      </c>
      <c r="F12" s="10">
        <f>'00 Raw Data'!G29</f>
        <v>1397.21</v>
      </c>
      <c r="G12" s="11">
        <f t="shared" si="0"/>
        <v>0.67660821270826954</v>
      </c>
      <c r="H12" s="11">
        <f t="shared" si="1"/>
        <v>1.2739768903727278</v>
      </c>
      <c r="I12" s="11">
        <f t="shared" si="2"/>
        <v>0.21890986671560644</v>
      </c>
      <c r="J12" s="11">
        <f t="shared" si="3"/>
        <v>0.31481080674150952</v>
      </c>
      <c r="K12" s="11">
        <f t="shared" si="4"/>
        <v>5.1101587440416329</v>
      </c>
    </row>
    <row r="13" spans="1:11" ht="14.25" customHeight="1" x14ac:dyDescent="0.3">
      <c r="A13" s="9" t="s">
        <v>43</v>
      </c>
      <c r="B13" s="10">
        <f>'00 Raw Data'!C30</f>
        <v>0</v>
      </c>
      <c r="C13" s="10">
        <f>'00 Raw Data'!D30</f>
        <v>0</v>
      </c>
      <c r="D13" s="10">
        <f>'00 Raw Data'!E30</f>
        <v>0</v>
      </c>
      <c r="E13" s="10">
        <f>'00 Raw Data'!F30</f>
        <v>638.04999999999995</v>
      </c>
      <c r="F13" s="10">
        <f>'00 Raw Data'!G30</f>
        <v>1202.1099999999999</v>
      </c>
      <c r="G13" s="11" t="str">
        <f t="shared" si="0"/>
        <v/>
      </c>
      <c r="H13" s="11" t="str">
        <f t="shared" si="1"/>
        <v/>
      </c>
      <c r="I13" s="11" t="str">
        <f t="shared" si="2"/>
        <v/>
      </c>
      <c r="J13" s="11">
        <f t="shared" si="3"/>
        <v>0.88403730115194734</v>
      </c>
      <c r="K13" s="11" t="str">
        <f t="shared" si="4"/>
        <v/>
      </c>
    </row>
    <row r="14" spans="1:11" ht="14.25" customHeight="1" x14ac:dyDescent="0.3">
      <c r="A14" s="9" t="s">
        <v>44</v>
      </c>
      <c r="B14" s="10">
        <f>'00 Raw Data'!C31</f>
        <v>0</v>
      </c>
      <c r="C14" s="10">
        <f>'00 Raw Data'!D31</f>
        <v>0</v>
      </c>
      <c r="D14" s="10">
        <f>'00 Raw Data'!E31</f>
        <v>0</v>
      </c>
      <c r="E14" s="10">
        <f>'00 Raw Data'!F31</f>
        <v>0</v>
      </c>
      <c r="F14" s="10">
        <f>'00 Raw Data'!G31</f>
        <v>0</v>
      </c>
      <c r="G14" s="11" t="str">
        <f t="shared" si="0"/>
        <v/>
      </c>
      <c r="H14" s="11" t="str">
        <f t="shared" si="1"/>
        <v/>
      </c>
      <c r="I14" s="11" t="str">
        <f t="shared" si="2"/>
        <v/>
      </c>
      <c r="J14" s="11" t="str">
        <f t="shared" si="3"/>
        <v/>
      </c>
      <c r="K14" s="11" t="str">
        <f t="shared" si="4"/>
        <v/>
      </c>
    </row>
    <row r="15" spans="1:11" ht="14.25" customHeight="1" x14ac:dyDescent="0.3">
      <c r="A15" s="9" t="s">
        <v>45</v>
      </c>
      <c r="B15" s="10">
        <f>'00 Raw Data'!C32</f>
        <v>100.15</v>
      </c>
      <c r="C15" s="10">
        <f>'00 Raw Data'!D32</f>
        <v>100.52</v>
      </c>
      <c r="D15" s="10">
        <f>'00 Raw Data'!E32</f>
        <v>99.62</v>
      </c>
      <c r="E15" s="10">
        <f>'00 Raw Data'!F32</f>
        <v>88.29</v>
      </c>
      <c r="F15" s="10">
        <f>'00 Raw Data'!G32</f>
        <v>54.39</v>
      </c>
      <c r="G15" s="11">
        <f t="shared" si="0"/>
        <v>3.6944583125311063E-3</v>
      </c>
      <c r="H15" s="11">
        <f t="shared" si="1"/>
        <v>-8.9534421010743284E-3</v>
      </c>
      <c r="I15" s="11">
        <f t="shared" si="2"/>
        <v>-0.11373218229271229</v>
      </c>
      <c r="J15" s="11">
        <f t="shared" si="3"/>
        <v>-0.38396194359497116</v>
      </c>
      <c r="K15" s="11">
        <f t="shared" si="4"/>
        <v>-0.45691462805791316</v>
      </c>
    </row>
    <row r="16" spans="1:11" ht="14.25" customHeight="1" x14ac:dyDescent="0.3">
      <c r="A16" s="18" t="s">
        <v>124</v>
      </c>
      <c r="B16" s="19">
        <f>SUM(B5:B15)</f>
        <v>2795.8000000000006</v>
      </c>
      <c r="C16" s="19">
        <f>SUM(C5:C15)</f>
        <v>3983.69</v>
      </c>
      <c r="D16" s="19">
        <f>SUM(D5:D15)</f>
        <v>2090.39</v>
      </c>
      <c r="E16" s="19">
        <f>SUM(E5:E15)</f>
        <v>3988.4300000000003</v>
      </c>
      <c r="F16" s="19">
        <f>SUM(F5:F15)</f>
        <v>6662.18</v>
      </c>
      <c r="G16" s="20">
        <f t="shared" si="0"/>
        <v>0.42488375420273239</v>
      </c>
      <c r="H16" s="20">
        <f t="shared" si="1"/>
        <v>-0.47526288441118664</v>
      </c>
      <c r="I16" s="20">
        <f t="shared" si="2"/>
        <v>0.90798367768693911</v>
      </c>
      <c r="J16" s="20">
        <f t="shared" si="3"/>
        <v>0.67037656421198311</v>
      </c>
      <c r="K16" s="20">
        <f t="shared" si="4"/>
        <v>1.3829243865798695</v>
      </c>
    </row>
    <row r="17" spans="1:11" ht="14.25" customHeight="1" x14ac:dyDescent="0.3">
      <c r="A17" s="9" t="s">
        <v>46</v>
      </c>
      <c r="B17" s="10">
        <f>'00 Raw Data'!C33</f>
        <v>1167.47</v>
      </c>
      <c r="C17" s="10">
        <f>'00 Raw Data'!D33</f>
        <v>760.42</v>
      </c>
      <c r="D17" s="10">
        <f>'00 Raw Data'!E33</f>
        <v>2053.52</v>
      </c>
      <c r="E17" s="10">
        <f>'00 Raw Data'!F33</f>
        <v>2857.11</v>
      </c>
      <c r="F17" s="10">
        <f>'00 Raw Data'!G33</f>
        <v>3557.49</v>
      </c>
      <c r="G17" s="11">
        <f t="shared" si="0"/>
        <v>-0.34865992273891411</v>
      </c>
      <c r="H17" s="11">
        <f t="shared" si="1"/>
        <v>1.7005076142131978</v>
      </c>
      <c r="I17" s="11">
        <f t="shared" si="2"/>
        <v>0.39132319139818467</v>
      </c>
      <c r="J17" s="11">
        <f t="shared" si="3"/>
        <v>0.24513581906191909</v>
      </c>
      <c r="K17" s="11">
        <f t="shared" si="4"/>
        <v>2.0471789424995928</v>
      </c>
    </row>
    <row r="18" spans="1:11" ht="14.25" customHeight="1" x14ac:dyDescent="0.3">
      <c r="A18" s="9" t="s">
        <v>47</v>
      </c>
      <c r="B18" s="10">
        <f>'00 Raw Data'!C34</f>
        <v>0</v>
      </c>
      <c r="C18" s="10">
        <f>'00 Raw Data'!D34</f>
        <v>0</v>
      </c>
      <c r="D18" s="10">
        <f>'00 Raw Data'!E34</f>
        <v>8.35</v>
      </c>
      <c r="E18" s="10">
        <f>'00 Raw Data'!F34</f>
        <v>0</v>
      </c>
      <c r="F18" s="10">
        <f>'00 Raw Data'!G34</f>
        <v>213.89</v>
      </c>
      <c r="G18" s="11" t="str">
        <f t="shared" si="0"/>
        <v/>
      </c>
      <c r="H18" s="11" t="str">
        <f t="shared" si="1"/>
        <v/>
      </c>
      <c r="I18" s="11">
        <f t="shared" si="2"/>
        <v>-1</v>
      </c>
      <c r="J18" s="11" t="str">
        <f t="shared" si="3"/>
        <v/>
      </c>
      <c r="K18" s="11" t="str">
        <f t="shared" si="4"/>
        <v/>
      </c>
    </row>
    <row r="19" spans="1:11" ht="14.25" customHeight="1" x14ac:dyDescent="0.3">
      <c r="A19" s="9" t="s">
        <v>48</v>
      </c>
      <c r="B19" s="10">
        <f>'00 Raw Data'!C35</f>
        <v>667.63</v>
      </c>
      <c r="C19" s="10">
        <f>'00 Raw Data'!D35</f>
        <v>546.32000000000005</v>
      </c>
      <c r="D19" s="10">
        <f>'00 Raw Data'!E35</f>
        <v>1658.56</v>
      </c>
      <c r="E19" s="10">
        <f>'00 Raw Data'!F35</f>
        <v>3682.9</v>
      </c>
      <c r="F19" s="10">
        <f>'00 Raw Data'!G35</f>
        <v>5741.95</v>
      </c>
      <c r="G19" s="11">
        <f t="shared" si="0"/>
        <v>-0.18170243997423716</v>
      </c>
      <c r="H19" s="11">
        <f t="shared" si="1"/>
        <v>2.0358764094303701</v>
      </c>
      <c r="I19" s="11">
        <f t="shared" si="2"/>
        <v>1.2205407100135057</v>
      </c>
      <c r="J19" s="11">
        <f t="shared" si="3"/>
        <v>0.55908387412093719</v>
      </c>
      <c r="K19" s="11">
        <f t="shared" si="4"/>
        <v>7.6004972814283356</v>
      </c>
    </row>
    <row r="20" spans="1:11" ht="14.25" customHeight="1" x14ac:dyDescent="0.3">
      <c r="A20" s="9" t="s">
        <v>49</v>
      </c>
      <c r="B20" s="10">
        <f>'00 Raw Data'!C36</f>
        <v>350.75</v>
      </c>
      <c r="C20" s="10">
        <f>'00 Raw Data'!D36</f>
        <v>290.63</v>
      </c>
      <c r="D20" s="10">
        <f>'00 Raw Data'!E36</f>
        <v>184.89</v>
      </c>
      <c r="E20" s="10">
        <f>'00 Raw Data'!F36</f>
        <v>808.02</v>
      </c>
      <c r="F20" s="10">
        <f>'00 Raw Data'!G36</f>
        <v>297.67</v>
      </c>
      <c r="G20" s="11">
        <f t="shared" si="0"/>
        <v>-0.17140413399857449</v>
      </c>
      <c r="H20" s="11">
        <f t="shared" si="1"/>
        <v>-0.36383029969376873</v>
      </c>
      <c r="I20" s="11">
        <f t="shared" si="2"/>
        <v>3.370274217102061</v>
      </c>
      <c r="J20" s="11">
        <f t="shared" si="3"/>
        <v>-0.63160565332541274</v>
      </c>
      <c r="K20" s="11">
        <f t="shared" si="4"/>
        <v>-0.15133285816108333</v>
      </c>
    </row>
    <row r="21" spans="1:11" ht="14.25" customHeight="1" x14ac:dyDescent="0.3">
      <c r="A21" s="9" t="s">
        <v>50</v>
      </c>
      <c r="B21" s="10">
        <f>'00 Raw Data'!C37</f>
        <v>59.27</v>
      </c>
      <c r="C21" s="10">
        <f>'00 Raw Data'!D37</f>
        <v>0</v>
      </c>
      <c r="D21" s="10">
        <f>'00 Raw Data'!E37</f>
        <v>177.27</v>
      </c>
      <c r="E21" s="10">
        <f>'00 Raw Data'!F37</f>
        <v>188.78</v>
      </c>
      <c r="F21" s="10">
        <f>'00 Raw Data'!G37</f>
        <v>575.27</v>
      </c>
      <c r="G21" s="11">
        <f t="shared" si="0"/>
        <v>-1</v>
      </c>
      <c r="H21" s="11" t="str">
        <f t="shared" si="1"/>
        <v/>
      </c>
      <c r="I21" s="11">
        <f t="shared" si="2"/>
        <v>6.4929204039036445E-2</v>
      </c>
      <c r="J21" s="11">
        <f t="shared" si="3"/>
        <v>2.0473037398029454</v>
      </c>
      <c r="K21" s="11">
        <f t="shared" si="4"/>
        <v>8.705922051628141</v>
      </c>
    </row>
    <row r="22" spans="1:11" ht="14.25" customHeight="1" x14ac:dyDescent="0.3">
      <c r="A22" s="9" t="s">
        <v>51</v>
      </c>
      <c r="B22" s="10">
        <f>'00 Raw Data'!C38</f>
        <v>52.35</v>
      </c>
      <c r="C22" s="10">
        <f>'00 Raw Data'!D38</f>
        <v>0.61</v>
      </c>
      <c r="D22" s="10">
        <f>'00 Raw Data'!E38</f>
        <v>0.26</v>
      </c>
      <c r="E22" s="10">
        <f>'00 Raw Data'!F38</f>
        <v>0.27</v>
      </c>
      <c r="F22" s="10">
        <f>'00 Raw Data'!G38</f>
        <v>133.07</v>
      </c>
      <c r="G22" s="11">
        <f t="shared" si="0"/>
        <v>-0.9883476599808978</v>
      </c>
      <c r="H22" s="11">
        <f t="shared" si="1"/>
        <v>-0.57377049180327866</v>
      </c>
      <c r="I22" s="11">
        <f t="shared" si="2"/>
        <v>3.8461538461538491E-2</v>
      </c>
      <c r="J22" s="11">
        <f t="shared" si="3"/>
        <v>491.85185185185173</v>
      </c>
      <c r="K22" s="11">
        <f t="shared" si="4"/>
        <v>1.5419293218720149</v>
      </c>
    </row>
    <row r="23" spans="1:11" ht="14.25" customHeight="1" x14ac:dyDescent="0.3">
      <c r="A23" s="9" t="s">
        <v>52</v>
      </c>
      <c r="B23" s="10">
        <f>'00 Raw Data'!C39</f>
        <v>76.36</v>
      </c>
      <c r="C23" s="10">
        <f>'00 Raw Data'!D39</f>
        <v>75.5</v>
      </c>
      <c r="D23" s="10">
        <f>'00 Raw Data'!E39</f>
        <v>153.66999999999999</v>
      </c>
      <c r="E23" s="10">
        <f>'00 Raw Data'!F39</f>
        <v>185.63</v>
      </c>
      <c r="F23" s="10">
        <f>'00 Raw Data'!G39</f>
        <v>201.99</v>
      </c>
      <c r="G23" s="11">
        <f t="shared" si="0"/>
        <v>-1.1262441068622307E-2</v>
      </c>
      <c r="H23" s="11">
        <f t="shared" si="1"/>
        <v>1.0353642384105959</v>
      </c>
      <c r="I23" s="11">
        <f t="shared" si="2"/>
        <v>0.20797813496453446</v>
      </c>
      <c r="J23" s="11">
        <f t="shared" si="3"/>
        <v>8.8132306200506466E-2</v>
      </c>
      <c r="K23" s="11">
        <f t="shared" si="4"/>
        <v>1.6452331063383974</v>
      </c>
    </row>
    <row r="24" spans="1:11" ht="14.25" customHeight="1" x14ac:dyDescent="0.3">
      <c r="A24" s="9" t="s">
        <v>53</v>
      </c>
      <c r="B24" s="10">
        <f>'00 Raw Data'!C40</f>
        <v>410.09</v>
      </c>
      <c r="C24" s="10">
        <f>'00 Raw Data'!D40</f>
        <v>363.01</v>
      </c>
      <c r="D24" s="10">
        <f>'00 Raw Data'!E40</f>
        <v>430.14</v>
      </c>
      <c r="E24" s="10">
        <f>'00 Raw Data'!F40</f>
        <v>633.32000000000005</v>
      </c>
      <c r="F24" s="10">
        <f>'00 Raw Data'!G40</f>
        <v>701.27</v>
      </c>
      <c r="G24" s="11">
        <f t="shared" si="0"/>
        <v>-0.11480406739983903</v>
      </c>
      <c r="H24" s="11">
        <f t="shared" si="1"/>
        <v>0.18492603509545191</v>
      </c>
      <c r="I24" s="11">
        <f t="shared" si="2"/>
        <v>0.47235783698330791</v>
      </c>
      <c r="J24" s="11">
        <f t="shared" si="3"/>
        <v>0.10729173245752531</v>
      </c>
      <c r="K24" s="11">
        <f t="shared" si="4"/>
        <v>0.7100392596747056</v>
      </c>
    </row>
    <row r="25" spans="1:11" ht="14.25" customHeight="1" x14ac:dyDescent="0.3">
      <c r="A25" s="9" t="s">
        <v>54</v>
      </c>
      <c r="B25" s="10">
        <f>'00 Raw Data'!C41</f>
        <v>95.54</v>
      </c>
      <c r="C25" s="10">
        <f>'00 Raw Data'!D41</f>
        <v>27.81</v>
      </c>
      <c r="D25" s="10">
        <f>'00 Raw Data'!E41</f>
        <v>0</v>
      </c>
      <c r="E25" s="10">
        <f>'00 Raw Data'!F41</f>
        <v>0</v>
      </c>
      <c r="F25" s="10">
        <f>'00 Raw Data'!G41</f>
        <v>0</v>
      </c>
      <c r="G25" s="11">
        <f t="shared" si="0"/>
        <v>-0.70891773079338494</v>
      </c>
      <c r="H25" s="11">
        <f t="shared" si="1"/>
        <v>-1</v>
      </c>
      <c r="I25" s="11" t="str">
        <f t="shared" si="2"/>
        <v/>
      </c>
      <c r="J25" s="11" t="str">
        <f t="shared" si="3"/>
        <v/>
      </c>
      <c r="K25" s="11">
        <f t="shared" si="4"/>
        <v>-1</v>
      </c>
    </row>
    <row r="26" spans="1:11" ht="14.25" customHeight="1" x14ac:dyDescent="0.3">
      <c r="A26" s="18" t="s">
        <v>125</v>
      </c>
      <c r="B26" s="19">
        <f>SUM(B17:B25)</f>
        <v>2879.46</v>
      </c>
      <c r="C26" s="19">
        <f>SUM(C17:C25)</f>
        <v>2064.2999999999997</v>
      </c>
      <c r="D26" s="19">
        <f>SUM(D17:D25)</f>
        <v>4666.66</v>
      </c>
      <c r="E26" s="19">
        <f>SUM(E17:E25)</f>
        <v>8356.0300000000007</v>
      </c>
      <c r="F26" s="19">
        <f>SUM(F17:F25)</f>
        <v>11422.6</v>
      </c>
      <c r="G26" s="20">
        <f t="shared" si="0"/>
        <v>-0.28309474693171649</v>
      </c>
      <c r="H26" s="20">
        <f t="shared" si="1"/>
        <v>1.2606500993072716</v>
      </c>
      <c r="I26" s="20">
        <f t="shared" si="2"/>
        <v>0.79058041511487898</v>
      </c>
      <c r="J26" s="20">
        <f t="shared" si="3"/>
        <v>0.36698886911607537</v>
      </c>
      <c r="K26" s="20">
        <f t="shared" si="4"/>
        <v>2.9669243538719066</v>
      </c>
    </row>
    <row r="27" spans="1:11" ht="14.25" customHeight="1" x14ac:dyDescent="0.3">
      <c r="A27" s="18" t="s">
        <v>126</v>
      </c>
      <c r="B27" s="19">
        <f>B16+B26</f>
        <v>5675.26</v>
      </c>
      <c r="C27" s="19">
        <f>C16+C26</f>
        <v>6047.99</v>
      </c>
      <c r="D27" s="19">
        <f>D16+D26</f>
        <v>6757.0499999999993</v>
      </c>
      <c r="E27" s="19">
        <f>E16+E26</f>
        <v>12344.460000000001</v>
      </c>
      <c r="F27" s="19">
        <f>F16+F26</f>
        <v>18084.78</v>
      </c>
      <c r="G27" s="20">
        <f t="shared" si="0"/>
        <v>6.5676286196579461E-2</v>
      </c>
      <c r="H27" s="20">
        <f t="shared" si="1"/>
        <v>0.11723895046122754</v>
      </c>
      <c r="I27" s="20">
        <f t="shared" si="2"/>
        <v>0.82690079250560555</v>
      </c>
      <c r="J27" s="20">
        <f t="shared" si="3"/>
        <v>0.46501183526861423</v>
      </c>
      <c r="K27" s="20">
        <f t="shared" si="4"/>
        <v>2.1865993804689121</v>
      </c>
    </row>
    <row r="28" spans="1:11" ht="14.25" customHeight="1" x14ac:dyDescent="0.3">
      <c r="A28" s="9" t="s">
        <v>55</v>
      </c>
      <c r="B28" s="10">
        <f>'00 Raw Data'!C42</f>
        <v>1843.49</v>
      </c>
      <c r="C28" s="10">
        <f>'00 Raw Data'!D42</f>
        <v>2454.4</v>
      </c>
      <c r="D28" s="10">
        <f>'00 Raw Data'!E42</f>
        <v>2721.72</v>
      </c>
      <c r="E28" s="10">
        <f>'00 Raw Data'!F42</f>
        <v>2731.79</v>
      </c>
      <c r="F28" s="10">
        <f>'00 Raw Data'!G42</f>
        <v>2744.99</v>
      </c>
      <c r="G28" s="11">
        <f t="shared" si="0"/>
        <v>0.33138774823839567</v>
      </c>
      <c r="H28" s="11">
        <f t="shared" si="1"/>
        <v>0.10891460234680561</v>
      </c>
      <c r="I28" s="11">
        <f t="shared" si="2"/>
        <v>3.699866261040873E-3</v>
      </c>
      <c r="J28" s="11">
        <f t="shared" si="3"/>
        <v>4.8319966029598971E-3</v>
      </c>
      <c r="K28" s="11">
        <f t="shared" si="4"/>
        <v>0.48901811238466153</v>
      </c>
    </row>
    <row r="29" spans="1:11" ht="14.25" customHeight="1" x14ac:dyDescent="0.3">
      <c r="A29" s="9" t="s">
        <v>56</v>
      </c>
      <c r="B29" s="10">
        <f>'00 Raw Data'!C43</f>
        <v>-5735.58</v>
      </c>
      <c r="C29" s="10">
        <f>'00 Raw Data'!D43</f>
        <v>-1035.01</v>
      </c>
      <c r="D29" s="10">
        <f>'00 Raw Data'!E43</f>
        <v>559.47</v>
      </c>
      <c r="E29" s="10">
        <f>'00 Raw Data'!F43</f>
        <v>2797.21</v>
      </c>
      <c r="F29" s="10">
        <f>'00 Raw Data'!G43</f>
        <v>7082.76</v>
      </c>
      <c r="G29" s="11">
        <f t="shared" si="0"/>
        <v>-0.81954571290087486</v>
      </c>
      <c r="H29" s="11">
        <f t="shared" si="1"/>
        <v>-1.5405455019758263</v>
      </c>
      <c r="I29" s="11">
        <f t="shared" si="2"/>
        <v>3.9997497631687127</v>
      </c>
      <c r="J29" s="11">
        <f t="shared" si="3"/>
        <v>1.5320801798935368</v>
      </c>
      <c r="K29" s="11">
        <f t="shared" si="4"/>
        <v>-2.234881215151737</v>
      </c>
    </row>
    <row r="30" spans="1:11" ht="14.25" customHeight="1" x14ac:dyDescent="0.3">
      <c r="A30" s="18" t="s">
        <v>127</v>
      </c>
      <c r="B30" s="19">
        <f>B28+B29</f>
        <v>-3892.09</v>
      </c>
      <c r="C30" s="19">
        <f>C28+C29</f>
        <v>1419.39</v>
      </c>
      <c r="D30" s="19">
        <f>D28+D29</f>
        <v>3281.1899999999996</v>
      </c>
      <c r="E30" s="19">
        <f>E28+E29</f>
        <v>5529</v>
      </c>
      <c r="F30" s="19">
        <f>F28+F29</f>
        <v>9827.75</v>
      </c>
      <c r="G30" s="20">
        <f t="shared" si="0"/>
        <v>-1.3646858114791796</v>
      </c>
      <c r="H30" s="20">
        <f t="shared" si="1"/>
        <v>1.3116902331283153</v>
      </c>
      <c r="I30" s="20">
        <f t="shared" si="2"/>
        <v>0.68505938394302091</v>
      </c>
      <c r="J30" s="20">
        <f t="shared" si="3"/>
        <v>0.77749140893470792</v>
      </c>
      <c r="K30" s="20">
        <f t="shared" si="4"/>
        <v>-3.5250572314617594</v>
      </c>
    </row>
    <row r="31" spans="1:11" ht="14.25" customHeight="1" x14ac:dyDescent="0.3">
      <c r="A31" s="9" t="s">
        <v>57</v>
      </c>
      <c r="B31" s="10">
        <f>'00 Raw Data'!C44</f>
        <v>3774.69</v>
      </c>
      <c r="C31" s="10">
        <f>'00 Raw Data'!D44</f>
        <v>2008.98</v>
      </c>
      <c r="D31" s="10">
        <f>'00 Raw Data'!E44</f>
        <v>0</v>
      </c>
      <c r="E31" s="10">
        <f>'00 Raw Data'!F44</f>
        <v>0</v>
      </c>
      <c r="F31" s="10">
        <f>'00 Raw Data'!G44</f>
        <v>0</v>
      </c>
      <c r="G31" s="11">
        <f t="shared" si="0"/>
        <v>-0.46777616175103121</v>
      </c>
      <c r="H31" s="11">
        <f t="shared" si="1"/>
        <v>-1</v>
      </c>
      <c r="I31" s="11" t="str">
        <f t="shared" si="2"/>
        <v/>
      </c>
      <c r="J31" s="11" t="str">
        <f t="shared" si="3"/>
        <v/>
      </c>
      <c r="K31" s="11">
        <f t="shared" si="4"/>
        <v>-1</v>
      </c>
    </row>
    <row r="32" spans="1:11" ht="14.25" customHeight="1" x14ac:dyDescent="0.3">
      <c r="A32" s="9" t="s">
        <v>58</v>
      </c>
      <c r="B32" s="10">
        <f>'00 Raw Data'!C45</f>
        <v>43.14</v>
      </c>
      <c r="C32" s="10">
        <f>'00 Raw Data'!D45</f>
        <v>4.99</v>
      </c>
      <c r="D32" s="10">
        <f>'00 Raw Data'!E45</f>
        <v>14.5</v>
      </c>
      <c r="E32" s="10">
        <f>'00 Raw Data'!F45</f>
        <v>22.97</v>
      </c>
      <c r="F32" s="10">
        <f>'00 Raw Data'!G45</f>
        <v>261.11</v>
      </c>
      <c r="G32" s="11">
        <f t="shared" si="0"/>
        <v>-0.88433008808530367</v>
      </c>
      <c r="H32" s="11">
        <f t="shared" si="1"/>
        <v>1.9058116232464928</v>
      </c>
      <c r="I32" s="11">
        <f t="shared" si="2"/>
        <v>0.58413793103448264</v>
      </c>
      <c r="J32" s="11">
        <f t="shared" si="3"/>
        <v>10.367435785807576</v>
      </c>
      <c r="K32" s="11">
        <f t="shared" si="4"/>
        <v>5.0526193787668063</v>
      </c>
    </row>
    <row r="33" spans="1:11" ht="14.25" customHeight="1" x14ac:dyDescent="0.3">
      <c r="A33" s="9" t="s">
        <v>59</v>
      </c>
      <c r="B33" s="10">
        <f>'00 Raw Data'!C46</f>
        <v>2351.73</v>
      </c>
      <c r="C33" s="10">
        <f>'00 Raw Data'!D46</f>
        <v>3.39</v>
      </c>
      <c r="D33" s="10">
        <f>'00 Raw Data'!E46</f>
        <v>4.58</v>
      </c>
      <c r="E33" s="10">
        <f>'00 Raw Data'!F46</f>
        <v>617.94000000000005</v>
      </c>
      <c r="F33" s="10">
        <f>'00 Raw Data'!G46</f>
        <v>628.89</v>
      </c>
      <c r="G33" s="11">
        <f t="shared" si="0"/>
        <v>-0.99855850799198898</v>
      </c>
      <c r="H33" s="11">
        <f t="shared" si="1"/>
        <v>0.35103244837758107</v>
      </c>
      <c r="I33" s="11">
        <f t="shared" si="2"/>
        <v>133.92139737991266</v>
      </c>
      <c r="J33" s="11">
        <f t="shared" si="3"/>
        <v>1.7720167006505375E-2</v>
      </c>
      <c r="K33" s="11">
        <f t="shared" si="4"/>
        <v>-0.73258409766427268</v>
      </c>
    </row>
    <row r="34" spans="1:11" ht="14.25" customHeight="1" x14ac:dyDescent="0.3">
      <c r="A34" s="9" t="s">
        <v>60</v>
      </c>
      <c r="B34" s="10">
        <f>'00 Raw Data'!C47</f>
        <v>112.96</v>
      </c>
      <c r="C34" s="10">
        <f>'00 Raw Data'!D47</f>
        <v>144.83000000000001</v>
      </c>
      <c r="D34" s="10">
        <f>'00 Raw Data'!E47</f>
        <v>163.41</v>
      </c>
      <c r="E34" s="10">
        <f>'00 Raw Data'!F47</f>
        <v>147.96</v>
      </c>
      <c r="F34" s="10">
        <f>'00 Raw Data'!G47</f>
        <v>207.51</v>
      </c>
      <c r="G34" s="11">
        <f t="shared" si="0"/>
        <v>0.28213526912181319</v>
      </c>
      <c r="H34" s="11">
        <f t="shared" si="1"/>
        <v>0.12828833805150855</v>
      </c>
      <c r="I34" s="11">
        <f t="shared" si="2"/>
        <v>-9.4547457315953667E-2</v>
      </c>
      <c r="J34" s="11">
        <f t="shared" si="3"/>
        <v>0.4024736415247363</v>
      </c>
      <c r="K34" s="11">
        <f t="shared" si="4"/>
        <v>0.83702195467422102</v>
      </c>
    </row>
    <row r="35" spans="1:11" ht="14.25" customHeight="1" x14ac:dyDescent="0.3">
      <c r="A35" s="9" t="s">
        <v>61</v>
      </c>
      <c r="B35" s="10">
        <f>'00 Raw Data'!C48</f>
        <v>0.19</v>
      </c>
      <c r="C35" s="10">
        <f>'00 Raw Data'!D48</f>
        <v>0.48</v>
      </c>
      <c r="D35" s="10">
        <f>'00 Raw Data'!E48</f>
        <v>0.48</v>
      </c>
      <c r="E35" s="10">
        <f>'00 Raw Data'!F48</f>
        <v>0.45</v>
      </c>
      <c r="F35" s="10">
        <f>'00 Raw Data'!G48</f>
        <v>0.09</v>
      </c>
      <c r="G35" s="11">
        <f t="shared" si="0"/>
        <v>1.5263157894736841</v>
      </c>
      <c r="H35" s="11">
        <f t="shared" si="1"/>
        <v>0</v>
      </c>
      <c r="I35" s="11">
        <f t="shared" si="2"/>
        <v>-6.2499999999999944E-2</v>
      </c>
      <c r="J35" s="11">
        <f t="shared" si="3"/>
        <v>-0.79999999999999993</v>
      </c>
      <c r="K35" s="11">
        <f t="shared" si="4"/>
        <v>-0.52631578947368429</v>
      </c>
    </row>
    <row r="36" spans="1:11" ht="14.25" customHeight="1" x14ac:dyDescent="0.3">
      <c r="A36" s="9" t="s">
        <v>62</v>
      </c>
      <c r="B36" s="10">
        <f>'00 Raw Data'!C49</f>
        <v>0</v>
      </c>
      <c r="C36" s="10">
        <f>'00 Raw Data'!D49</f>
        <v>0</v>
      </c>
      <c r="D36" s="10">
        <f>'00 Raw Data'!E49</f>
        <v>0</v>
      </c>
      <c r="E36" s="10">
        <f>'00 Raw Data'!F49</f>
        <v>0</v>
      </c>
      <c r="F36" s="10">
        <f>'00 Raw Data'!G49</f>
        <v>0</v>
      </c>
      <c r="G36" s="11" t="str">
        <f t="shared" si="0"/>
        <v/>
      </c>
      <c r="H36" s="11" t="str">
        <f t="shared" si="1"/>
        <v/>
      </c>
      <c r="I36" s="11" t="str">
        <f t="shared" si="2"/>
        <v/>
      </c>
      <c r="J36" s="11" t="str">
        <f t="shared" si="3"/>
        <v/>
      </c>
      <c r="K36" s="11" t="str">
        <f t="shared" si="4"/>
        <v/>
      </c>
    </row>
    <row r="37" spans="1:11" ht="14.25" customHeight="1" x14ac:dyDescent="0.3">
      <c r="A37" s="18" t="s">
        <v>128</v>
      </c>
      <c r="B37" s="19">
        <f>SUM(B31:B36)</f>
        <v>6282.7099999999991</v>
      </c>
      <c r="C37" s="19">
        <f>SUM(C31:C36)</f>
        <v>2162.67</v>
      </c>
      <c r="D37" s="19">
        <f>SUM(D31:D36)</f>
        <v>182.97</v>
      </c>
      <c r="E37" s="19">
        <f>SUM(E31:E36)</f>
        <v>789.32000000000016</v>
      </c>
      <c r="F37" s="19">
        <f>SUM(F31:F36)</f>
        <v>1097.5999999999999</v>
      </c>
      <c r="G37" s="20">
        <f t="shared" si="0"/>
        <v>-0.65577433941722596</v>
      </c>
      <c r="H37" s="20">
        <f t="shared" si="1"/>
        <v>-0.91539624630664873</v>
      </c>
      <c r="I37" s="20">
        <f t="shared" si="2"/>
        <v>3.3139312455593819</v>
      </c>
      <c r="J37" s="20">
        <f t="shared" si="3"/>
        <v>0.39056402979780025</v>
      </c>
      <c r="K37" s="20">
        <f t="shared" si="4"/>
        <v>-0.82529831871915138</v>
      </c>
    </row>
    <row r="38" spans="1:11" ht="14.25" customHeight="1" x14ac:dyDescent="0.3">
      <c r="A38" s="9" t="s">
        <v>63</v>
      </c>
      <c r="B38" s="10">
        <f>'00 Raw Data'!C50</f>
        <v>486.54</v>
      </c>
      <c r="C38" s="10">
        <f>'00 Raw Data'!D50</f>
        <v>323.02</v>
      </c>
      <c r="D38" s="10">
        <f>'00 Raw Data'!E50</f>
        <v>0</v>
      </c>
      <c r="E38" s="10">
        <f>'00 Raw Data'!F50</f>
        <v>0</v>
      </c>
      <c r="F38" s="10">
        <f>'00 Raw Data'!G50</f>
        <v>0</v>
      </c>
      <c r="G38" s="11">
        <f t="shared" si="0"/>
        <v>-0.33608747482221407</v>
      </c>
      <c r="H38" s="11">
        <f t="shared" si="1"/>
        <v>-1</v>
      </c>
      <c r="I38" s="11" t="str">
        <f t="shared" si="2"/>
        <v/>
      </c>
      <c r="J38" s="11" t="str">
        <f t="shared" si="3"/>
        <v/>
      </c>
      <c r="K38" s="11">
        <f t="shared" si="4"/>
        <v>-1</v>
      </c>
    </row>
    <row r="39" spans="1:11" ht="14.25" customHeight="1" x14ac:dyDescent="0.3">
      <c r="A39" s="9" t="s">
        <v>64</v>
      </c>
      <c r="B39" s="10">
        <f>'00 Raw Data'!C51</f>
        <v>9.8699999999999992</v>
      </c>
      <c r="C39" s="10">
        <f>'00 Raw Data'!D51</f>
        <v>5.21</v>
      </c>
      <c r="D39" s="10">
        <f>'00 Raw Data'!E51</f>
        <v>23.16</v>
      </c>
      <c r="E39" s="10">
        <f>'00 Raw Data'!F51</f>
        <v>12.57</v>
      </c>
      <c r="F39" s="10">
        <f>'00 Raw Data'!G51</f>
        <v>27.66</v>
      </c>
      <c r="G39" s="11">
        <f t="shared" si="0"/>
        <v>-0.47213779128672739</v>
      </c>
      <c r="H39" s="11">
        <f t="shared" si="1"/>
        <v>3.4452975047984644</v>
      </c>
      <c r="I39" s="11">
        <f t="shared" si="2"/>
        <v>-0.45725388601036271</v>
      </c>
      <c r="J39" s="11">
        <f t="shared" si="3"/>
        <v>1.2004773269689737</v>
      </c>
      <c r="K39" s="11">
        <f t="shared" si="4"/>
        <v>1.8024316109422496</v>
      </c>
    </row>
    <row r="40" spans="1:11" ht="14.25" customHeight="1" x14ac:dyDescent="0.3">
      <c r="A40" s="9" t="s">
        <v>65</v>
      </c>
      <c r="B40" s="10">
        <f>'00 Raw Data'!C52</f>
        <v>58.98</v>
      </c>
      <c r="C40" s="10">
        <f>'00 Raw Data'!D52</f>
        <v>2.7</v>
      </c>
      <c r="D40" s="10">
        <f>'00 Raw Data'!E52</f>
        <v>33.92</v>
      </c>
      <c r="E40" s="10">
        <f>'00 Raw Data'!F52</f>
        <v>61.86</v>
      </c>
      <c r="F40" s="10">
        <f>'00 Raw Data'!G52</f>
        <v>124.48</v>
      </c>
      <c r="G40" s="11">
        <f t="shared" si="0"/>
        <v>-0.9542217700915564</v>
      </c>
      <c r="H40" s="11">
        <f t="shared" si="1"/>
        <v>11.562962962962963</v>
      </c>
      <c r="I40" s="11">
        <f t="shared" si="2"/>
        <v>0.82370283018867918</v>
      </c>
      <c r="J40" s="11">
        <f t="shared" si="3"/>
        <v>1.0122858066602005</v>
      </c>
      <c r="K40" s="11">
        <f t="shared" si="4"/>
        <v>1.1105459477789084</v>
      </c>
    </row>
    <row r="41" spans="1:11" ht="14.25" customHeight="1" x14ac:dyDescent="0.3">
      <c r="A41" s="9" t="s">
        <v>66</v>
      </c>
      <c r="B41" s="10">
        <f>'00 Raw Data'!C53</f>
        <v>1756.96</v>
      </c>
      <c r="C41" s="10">
        <f>'00 Raw Data'!D53</f>
        <v>1059.3900000000001</v>
      </c>
      <c r="D41" s="10">
        <f>'00 Raw Data'!E53</f>
        <v>2148.06</v>
      </c>
      <c r="E41" s="10">
        <f>'00 Raw Data'!F53</f>
        <v>3271.34</v>
      </c>
      <c r="F41" s="10">
        <f>'00 Raw Data'!G53</f>
        <v>4385.84</v>
      </c>
      <c r="G41" s="11">
        <f t="shared" si="0"/>
        <v>-0.3970323741007194</v>
      </c>
      <c r="H41" s="11">
        <f t="shared" si="1"/>
        <v>1.0276385467108429</v>
      </c>
      <c r="I41" s="11">
        <f t="shared" si="2"/>
        <v>0.52292766496280374</v>
      </c>
      <c r="J41" s="11">
        <f t="shared" si="3"/>
        <v>0.340686079710455</v>
      </c>
      <c r="K41" s="11">
        <f t="shared" si="4"/>
        <v>1.4962662781167473</v>
      </c>
    </row>
    <row r="42" spans="1:11" ht="14.25" customHeight="1" x14ac:dyDescent="0.3">
      <c r="A42" s="9" t="s">
        <v>67</v>
      </c>
      <c r="B42" s="10">
        <f>'00 Raw Data'!C54</f>
        <v>211.09</v>
      </c>
      <c r="C42" s="10">
        <f>'00 Raw Data'!D54</f>
        <v>220.99</v>
      </c>
      <c r="D42" s="10">
        <f>'00 Raw Data'!E54</f>
        <v>211.45</v>
      </c>
      <c r="E42" s="10">
        <f>'00 Raw Data'!F54</f>
        <v>369.37</v>
      </c>
      <c r="F42" s="10">
        <f>'00 Raw Data'!G54</f>
        <v>112.58</v>
      </c>
      <c r="G42" s="11">
        <f t="shared" si="0"/>
        <v>4.6899426784783767E-2</v>
      </c>
      <c r="H42" s="11">
        <f t="shared" si="1"/>
        <v>-4.3169374179827233E-2</v>
      </c>
      <c r="I42" s="11">
        <f t="shared" si="2"/>
        <v>0.74684322534878234</v>
      </c>
      <c r="J42" s="11">
        <f t="shared" si="3"/>
        <v>-0.69521076427430495</v>
      </c>
      <c r="K42" s="11">
        <f t="shared" si="4"/>
        <v>-0.46667298308778249</v>
      </c>
    </row>
    <row r="43" spans="1:11" ht="14.25" customHeight="1" x14ac:dyDescent="0.3">
      <c r="A43" s="9" t="s">
        <v>68</v>
      </c>
      <c r="B43" s="10">
        <f>'00 Raw Data'!C55</f>
        <v>395.26</v>
      </c>
      <c r="C43" s="10">
        <f>'00 Raw Data'!D55</f>
        <v>451.2</v>
      </c>
      <c r="D43" s="10">
        <f>'00 Raw Data'!E55</f>
        <v>548.52</v>
      </c>
      <c r="E43" s="10">
        <f>'00 Raw Data'!F55</f>
        <v>550.20000000000005</v>
      </c>
      <c r="F43" s="10">
        <f>'00 Raw Data'!G55</f>
        <v>683.76</v>
      </c>
      <c r="G43" s="11">
        <f t="shared" si="0"/>
        <v>0.14152709608865049</v>
      </c>
      <c r="H43" s="11">
        <f t="shared" si="1"/>
        <v>0.21569148936170213</v>
      </c>
      <c r="I43" s="11">
        <f t="shared" si="2"/>
        <v>3.0627871362941439E-3</v>
      </c>
      <c r="J43" s="11">
        <f t="shared" si="3"/>
        <v>0.24274809160305333</v>
      </c>
      <c r="K43" s="11">
        <f t="shared" si="4"/>
        <v>0.72989930678540715</v>
      </c>
    </row>
    <row r="44" spans="1:11" ht="14.25" customHeight="1" x14ac:dyDescent="0.3">
      <c r="A44" s="9" t="s">
        <v>69</v>
      </c>
      <c r="B44" s="10">
        <f>'00 Raw Data'!C56</f>
        <v>0</v>
      </c>
      <c r="C44" s="10">
        <f>'00 Raw Data'!D56</f>
        <v>0</v>
      </c>
      <c r="D44" s="10">
        <f>'00 Raw Data'!E56</f>
        <v>0</v>
      </c>
      <c r="E44" s="10">
        <f>'00 Raw Data'!F56</f>
        <v>7.05</v>
      </c>
      <c r="F44" s="10">
        <f>'00 Raw Data'!G56</f>
        <v>0</v>
      </c>
      <c r="G44" s="11" t="str">
        <f t="shared" si="0"/>
        <v/>
      </c>
      <c r="H44" s="11" t="str">
        <f t="shared" si="1"/>
        <v/>
      </c>
      <c r="I44" s="11" t="str">
        <f t="shared" si="2"/>
        <v/>
      </c>
      <c r="J44" s="11">
        <f t="shared" si="3"/>
        <v>-1</v>
      </c>
      <c r="K44" s="11" t="str">
        <f t="shared" si="4"/>
        <v/>
      </c>
    </row>
    <row r="45" spans="1:11" ht="14.25" customHeight="1" x14ac:dyDescent="0.3">
      <c r="A45" s="9" t="s">
        <v>70</v>
      </c>
      <c r="B45" s="10">
        <f>'00 Raw Data'!C57</f>
        <v>11.95</v>
      </c>
      <c r="C45" s="10">
        <f>'00 Raw Data'!D57</f>
        <v>16.760000000000002</v>
      </c>
      <c r="D45" s="10">
        <f>'00 Raw Data'!E57</f>
        <v>47.3</v>
      </c>
      <c r="E45" s="10">
        <f>'00 Raw Data'!F57</f>
        <v>73.72</v>
      </c>
      <c r="F45" s="10">
        <f>'00 Raw Data'!G57</f>
        <v>47.72</v>
      </c>
      <c r="G45" s="11">
        <f t="shared" si="0"/>
        <v>0.40251046025104625</v>
      </c>
      <c r="H45" s="11">
        <f t="shared" si="1"/>
        <v>1.8221957040572787</v>
      </c>
      <c r="I45" s="11">
        <f t="shared" si="2"/>
        <v>0.55856236786469349</v>
      </c>
      <c r="J45" s="11">
        <f t="shared" si="3"/>
        <v>-0.35268583830710798</v>
      </c>
      <c r="K45" s="11">
        <f t="shared" si="4"/>
        <v>2.9933054393305443</v>
      </c>
    </row>
    <row r="46" spans="1:11" ht="14.25" customHeight="1" x14ac:dyDescent="0.3">
      <c r="A46" s="9" t="s">
        <v>71</v>
      </c>
      <c r="B46" s="10">
        <f>'00 Raw Data'!C58</f>
        <v>353.99</v>
      </c>
      <c r="C46" s="10">
        <f>'00 Raw Data'!D58</f>
        <v>386.66</v>
      </c>
      <c r="D46" s="10">
        <f>'00 Raw Data'!E58</f>
        <v>280.48</v>
      </c>
      <c r="E46" s="10">
        <f>'00 Raw Data'!F58</f>
        <v>1680.03</v>
      </c>
      <c r="F46" s="10">
        <f>'00 Raw Data'!G58</f>
        <v>1777.39</v>
      </c>
      <c r="G46" s="11">
        <f t="shared" si="0"/>
        <v>9.2290742676346835E-2</v>
      </c>
      <c r="H46" s="11">
        <f t="shared" si="1"/>
        <v>-0.27460818289970518</v>
      </c>
      <c r="I46" s="11">
        <f t="shared" si="2"/>
        <v>4.9898388476896747</v>
      </c>
      <c r="J46" s="11">
        <f t="shared" si="3"/>
        <v>5.7951346106914832E-2</v>
      </c>
      <c r="K46" s="11">
        <f t="shared" si="4"/>
        <v>4.0210175428684432</v>
      </c>
    </row>
    <row r="47" spans="1:11" ht="14.25" customHeight="1" x14ac:dyDescent="0.3">
      <c r="A47" s="18" t="s">
        <v>129</v>
      </c>
      <c r="B47" s="19">
        <f>SUM(B38:B46)</f>
        <v>3284.6399999999994</v>
      </c>
      <c r="C47" s="19">
        <f>SUM(C38:C46)</f>
        <v>2465.9300000000003</v>
      </c>
      <c r="D47" s="19">
        <f>SUM(D38:D46)</f>
        <v>3292.89</v>
      </c>
      <c r="E47" s="19">
        <f>SUM(E38:E46)</f>
        <v>6026.14</v>
      </c>
      <c r="F47" s="19">
        <f>SUM(F38:F46)</f>
        <v>7159.4300000000012</v>
      </c>
      <c r="G47" s="20">
        <f t="shared" si="0"/>
        <v>-0.24925410395050882</v>
      </c>
      <c r="H47" s="20">
        <f t="shared" si="1"/>
        <v>0.33535420713483333</v>
      </c>
      <c r="I47" s="20">
        <f t="shared" si="2"/>
        <v>0.83004594748078453</v>
      </c>
      <c r="J47" s="20">
        <f t="shared" si="3"/>
        <v>0.18806234173119124</v>
      </c>
      <c r="K47" s="20">
        <f t="shared" si="4"/>
        <v>1.1796696137171812</v>
      </c>
    </row>
    <row r="48" spans="1:11" ht="14.25" customHeight="1" x14ac:dyDescent="0.3">
      <c r="A48" s="18" t="s">
        <v>130</v>
      </c>
      <c r="B48" s="19">
        <f>B30+B37+B47</f>
        <v>5675.2599999999984</v>
      </c>
      <c r="C48" s="19">
        <f>C30+C37+C47</f>
        <v>6047.9900000000007</v>
      </c>
      <c r="D48" s="19">
        <f>D30+D37+D47</f>
        <v>6757.0499999999993</v>
      </c>
      <c r="E48" s="19">
        <f>E30+E37+E47</f>
        <v>12344.46</v>
      </c>
      <c r="F48" s="19">
        <f>F30+F37+F47</f>
        <v>18084.780000000002</v>
      </c>
      <c r="G48" s="20">
        <f t="shared" si="0"/>
        <v>6.5676286196579961E-2</v>
      </c>
      <c r="H48" s="20">
        <f t="shared" si="1"/>
        <v>0.11723895046122737</v>
      </c>
      <c r="I48" s="20">
        <f t="shared" si="2"/>
        <v>0.82690079250560533</v>
      </c>
      <c r="J48" s="20">
        <f t="shared" si="3"/>
        <v>0.46501183526861473</v>
      </c>
      <c r="K48" s="20">
        <f t="shared" si="4"/>
        <v>2.1865993804689139</v>
      </c>
    </row>
    <row r="49" spans="1:11" ht="14.25" customHeight="1" x14ac:dyDescent="0.3">
      <c r="A49" s="18" t="s">
        <v>131</v>
      </c>
      <c r="B49" s="19">
        <f>B27-B48</f>
        <v>0</v>
      </c>
      <c r="C49" s="19">
        <f>C27-C48</f>
        <v>0</v>
      </c>
      <c r="D49" s="19">
        <f>D27-D48</f>
        <v>0</v>
      </c>
      <c r="E49" s="19">
        <f>E27-E48</f>
        <v>0</v>
      </c>
      <c r="F49" s="19">
        <f>F27-F48</f>
        <v>0</v>
      </c>
      <c r="G49" s="20" t="str">
        <f t="shared" si="0"/>
        <v/>
      </c>
      <c r="H49" s="20" t="str">
        <f t="shared" si="1"/>
        <v/>
      </c>
      <c r="I49" s="20" t="str">
        <f t="shared" si="2"/>
        <v/>
      </c>
      <c r="J49" s="20" t="str">
        <f t="shared" si="3"/>
        <v/>
      </c>
      <c r="K49" s="20" t="str">
        <f t="shared" si="4"/>
        <v/>
      </c>
    </row>
  </sheetData>
  <mergeCells count="2">
    <mergeCell ref="A2:K2"/>
    <mergeCell ref="A1:K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1" sqref="B11"/>
    </sheetView>
  </sheetViews>
  <sheetFormatPr defaultColWidth="8.6640625" defaultRowHeight="14.25" customHeight="1" x14ac:dyDescent="0.3"/>
  <cols>
    <col min="1" max="1" width="22.6640625" bestFit="1" customWidth="1"/>
    <col min="2" max="6" width="14" customWidth="1"/>
    <col min="7" max="7" width="55" customWidth="1"/>
    <col min="8" max="8" width="65" customWidth="1"/>
  </cols>
  <sheetData>
    <row r="1" spans="1:8" ht="21" customHeight="1" x14ac:dyDescent="0.3">
      <c r="A1" s="28" t="s">
        <v>132</v>
      </c>
      <c r="B1" s="30"/>
      <c r="C1" s="30"/>
      <c r="D1" s="30"/>
      <c r="E1" s="30"/>
      <c r="F1" s="30"/>
      <c r="G1" s="30"/>
      <c r="H1" s="30"/>
    </row>
    <row r="2" spans="1:8" ht="14.25" customHeight="1" x14ac:dyDescent="0.3">
      <c r="A2" s="29" t="s">
        <v>133</v>
      </c>
      <c r="B2" s="30"/>
      <c r="C2" s="30"/>
      <c r="D2" s="30"/>
      <c r="E2" s="30"/>
      <c r="F2" s="30"/>
      <c r="G2" s="30"/>
      <c r="H2" s="30"/>
    </row>
    <row r="3" spans="1:8" ht="14.4" customHeight="1" x14ac:dyDescent="0.3"/>
    <row r="4" spans="1:8" ht="14.25" customHeight="1" x14ac:dyDescent="0.3">
      <c r="A4" s="2" t="s">
        <v>92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79</v>
      </c>
      <c r="H4" s="2" t="s">
        <v>93</v>
      </c>
    </row>
    <row r="5" spans="1:8" ht="27.75" customHeight="1" x14ac:dyDescent="0.3">
      <c r="A5" s="9" t="s">
        <v>134</v>
      </c>
      <c r="B5" s="21">
        <f>IFERROR('03 Balance Sheet'!B26/'03 Balance Sheet'!B47,"")</f>
        <v>0.87664401578255169</v>
      </c>
      <c r="C5" s="21">
        <f>IFERROR('03 Balance Sheet'!C26/'03 Balance Sheet'!C47,"")</f>
        <v>0.83712838563949488</v>
      </c>
      <c r="D5" s="21">
        <f>IFERROR('03 Balance Sheet'!D26/'03 Balance Sheet'!D47,"")</f>
        <v>1.4171928002453771</v>
      </c>
      <c r="E5" s="21">
        <f>IFERROR('03 Balance Sheet'!E26/'03 Balance Sheet'!E47,"")</f>
        <v>1.38663057944223</v>
      </c>
      <c r="F5" s="21">
        <f>IFERROR('03 Balance Sheet'!F26/'03 Balance Sheet'!F47,"")</f>
        <v>1.5954622085836441</v>
      </c>
      <c r="G5" s="9" t="s">
        <v>135</v>
      </c>
      <c r="H5" s="9" t="s">
        <v>135</v>
      </c>
    </row>
    <row r="6" spans="1:8" ht="27.75" customHeight="1" x14ac:dyDescent="0.3">
      <c r="A6" s="9" t="s">
        <v>136</v>
      </c>
      <c r="B6" s="21">
        <f>IFERROR(('03 Balance Sheet'!B26-'03 Balance Sheet'!B17)/'03 Balance Sheet'!B47,"")</f>
        <v>0.52121084806858597</v>
      </c>
      <c r="C6" s="21">
        <f>IFERROR(('03 Balance Sheet'!C26-'03 Balance Sheet'!C17)/'03 Balance Sheet'!C47,"")</f>
        <v>0.52875791283613061</v>
      </c>
      <c r="D6" s="21">
        <f>IFERROR(('03 Balance Sheet'!D26-'03 Balance Sheet'!D17)/'03 Balance Sheet'!D47,"")</f>
        <v>0.79357038953624326</v>
      </c>
      <c r="E6" s="21">
        <f>IFERROR(('03 Balance Sheet'!E26-'03 Balance Sheet'!E17)/'03 Balance Sheet'!E47,"")</f>
        <v>0.91251115971417851</v>
      </c>
      <c r="F6" s="21">
        <f>IFERROR(('03 Balance Sheet'!F26-'03 Balance Sheet'!F17)/'03 Balance Sheet'!F47,"")</f>
        <v>1.0985665059927954</v>
      </c>
      <c r="G6" s="9" t="s">
        <v>137</v>
      </c>
      <c r="H6" s="9" t="s">
        <v>137</v>
      </c>
    </row>
    <row r="7" spans="1:8" ht="27.75" customHeight="1" x14ac:dyDescent="0.3">
      <c r="A7" s="9" t="s">
        <v>138</v>
      </c>
      <c r="B7" s="21">
        <f>IFERROR(('03 Balance Sheet'!B20+'03 Balance Sheet'!B21)/'03 Balance Sheet'!B47,"")</f>
        <v>0.12482950947440208</v>
      </c>
      <c r="C7" s="21">
        <f>IFERROR(('03 Balance Sheet'!C20+'03 Balance Sheet'!C21)/'03 Balance Sheet'!C47,"")</f>
        <v>0.11785817115652106</v>
      </c>
      <c r="D7" s="21">
        <f>IFERROR(('03 Balance Sheet'!D20+'03 Balance Sheet'!D21)/'03 Balance Sheet'!D47,"")</f>
        <v>0.10998241666135218</v>
      </c>
      <c r="E7" s="21">
        <f>IFERROR(('03 Balance Sheet'!E20+'03 Balance Sheet'!E21)/'03 Balance Sheet'!E47,"")</f>
        <v>0.16541268540060469</v>
      </c>
      <c r="F7" s="21">
        <f>IFERROR(('03 Balance Sheet'!F20+'03 Balance Sheet'!F21)/'03 Balance Sheet'!F47,"")</f>
        <v>0.12192870102787511</v>
      </c>
      <c r="G7" s="9" t="s">
        <v>139</v>
      </c>
      <c r="H7" s="9" t="s">
        <v>139</v>
      </c>
    </row>
    <row r="8" spans="1:8" ht="27.75" customHeight="1" x14ac:dyDescent="0.3">
      <c r="A8" s="9" t="s">
        <v>140</v>
      </c>
      <c r="B8" s="21">
        <f>IFERROR(('03 Balance Sheet'!B31+'03 Balance Sheet'!B38)/'03 Balance Sheet'!B30,"")</f>
        <v>-1.0948436444172669</v>
      </c>
      <c r="C8" s="21">
        <f>IFERROR(('03 Balance Sheet'!C31+'03 Balance Sheet'!C38)/'03 Balance Sheet'!C30,"")</f>
        <v>1.6429592994173552</v>
      </c>
      <c r="D8" s="21">
        <f>IFERROR(('03 Balance Sheet'!D31+'03 Balance Sheet'!D38)/'03 Balance Sheet'!D30,"")</f>
        <v>0</v>
      </c>
      <c r="E8" s="21">
        <f>IFERROR(('03 Balance Sheet'!E31+'03 Balance Sheet'!E38)/'03 Balance Sheet'!E30,"")</f>
        <v>0</v>
      </c>
      <c r="F8" s="21">
        <f>IFERROR(('03 Balance Sheet'!F31+'03 Balance Sheet'!F38)/'03 Balance Sheet'!F30,"")</f>
        <v>0</v>
      </c>
      <c r="G8" s="9" t="s">
        <v>141</v>
      </c>
      <c r="H8" s="9" t="s">
        <v>141</v>
      </c>
    </row>
    <row r="9" spans="1:8" ht="27.75" customHeight="1" x14ac:dyDescent="0.3">
      <c r="A9" s="9" t="s">
        <v>142</v>
      </c>
      <c r="B9" s="21">
        <f>IFERROR(('03 Balance Sheet'!B32+'03 Balance Sheet'!B39)/'03 Balance Sheet'!B30,"")</f>
        <v>-1.3619931707642936E-2</v>
      </c>
      <c r="C9" s="21">
        <f>IFERROR(('03 Balance Sheet'!C32+'03 Balance Sheet'!C39)/'03 Balance Sheet'!C30,"")</f>
        <v>7.1861856149472653E-3</v>
      </c>
      <c r="D9" s="21">
        <f>IFERROR(('03 Balance Sheet'!D32+'03 Balance Sheet'!D39)/'03 Balance Sheet'!D30,"")</f>
        <v>1.1477543208409144E-2</v>
      </c>
      <c r="E9" s="21">
        <f>IFERROR(('03 Balance Sheet'!E32+'03 Balance Sheet'!E39)/'03 Balance Sheet'!E30,"")</f>
        <v>6.4279254838126238E-3</v>
      </c>
      <c r="F9" s="21">
        <f>IFERROR(('03 Balance Sheet'!F32+'03 Balance Sheet'!F39)/'03 Balance Sheet'!F30,"")</f>
        <v>2.9383124316349117E-2</v>
      </c>
      <c r="G9" s="9" t="s">
        <v>143</v>
      </c>
      <c r="H9" s="9" t="s">
        <v>143</v>
      </c>
    </row>
    <row r="10" spans="1:8" ht="27.75" customHeight="1" x14ac:dyDescent="0.3">
      <c r="A10" s="9" t="s">
        <v>144</v>
      </c>
      <c r="B10" s="22">
        <f>IFERROR(('03 Balance Sheet'!B37+'03 Balance Sheet'!B47)/'03 Balance Sheet'!B27,"")</f>
        <v>1.6857994171192154</v>
      </c>
      <c r="C10" s="22">
        <f>IFERROR(('03 Balance Sheet'!C37+'03 Balance Sheet'!C47)/'03 Balance Sheet'!C27,"")</f>
        <v>0.7653121119578572</v>
      </c>
      <c r="D10" s="22">
        <f>IFERROR(('03 Balance Sheet'!D37+'03 Balance Sheet'!D47)/'03 Balance Sheet'!D27,"")</f>
        <v>0.51440495482496063</v>
      </c>
      <c r="E10" s="22">
        <f>IFERROR(('03 Balance Sheet'!E37+'03 Balance Sheet'!E47)/'03 Balance Sheet'!E27,"")</f>
        <v>0.55210677502296579</v>
      </c>
      <c r="F10" s="22">
        <f>IFERROR(('03 Balance Sheet'!F37+'03 Balance Sheet'!F47)/'03 Balance Sheet'!F27,"")</f>
        <v>0.45657342804280732</v>
      </c>
      <c r="G10" s="9" t="s">
        <v>145</v>
      </c>
      <c r="H10" s="9" t="s">
        <v>145</v>
      </c>
    </row>
    <row r="11" spans="1:8" ht="27.75" customHeight="1" x14ac:dyDescent="0.3">
      <c r="A11" s="9" t="s">
        <v>146</v>
      </c>
      <c r="B11" s="22">
        <f>IFERROR('03 Balance Sheet'!B30/'03 Balance Sheet'!B27,"")</f>
        <v>-0.68579941711921566</v>
      </c>
      <c r="C11" s="22">
        <f>IFERROR('03 Balance Sheet'!C30/'03 Balance Sheet'!C27,"")</f>
        <v>0.23468788804214294</v>
      </c>
      <c r="D11" s="22">
        <f>IFERROR('03 Balance Sheet'!D30/'03 Balance Sheet'!D27,"")</f>
        <v>0.48559504517503937</v>
      </c>
      <c r="E11" s="22">
        <f>IFERROR('03 Balance Sheet'!E30/'03 Balance Sheet'!E27,"")</f>
        <v>0.44789322497703421</v>
      </c>
      <c r="F11" s="22">
        <f>IFERROR('03 Balance Sheet'!F30/'03 Balance Sheet'!F27,"")</f>
        <v>0.54342657195719279</v>
      </c>
      <c r="G11" s="9" t="s">
        <v>147</v>
      </c>
      <c r="H11" s="9" t="s">
        <v>147</v>
      </c>
    </row>
    <row r="12" spans="1:8" ht="27.75" customHeight="1" x14ac:dyDescent="0.3">
      <c r="A12" s="9" t="s">
        <v>148</v>
      </c>
      <c r="B12" s="22">
        <f>IFERROR('03 Balance Sheet'!B19/'01 Income Statement'!B5,"")</f>
        <v>0.16793991060041608</v>
      </c>
      <c r="C12" s="22">
        <f>IFERROR('03 Balance Sheet'!C19/'01 Income Statement'!C5,"")</f>
        <v>0.15440881367045964</v>
      </c>
      <c r="D12" s="22">
        <f>IFERROR('03 Balance Sheet'!D19/'01 Income Statement'!D5,"")</f>
        <v>0.28427502635254998</v>
      </c>
      <c r="E12" s="22">
        <f>IFERROR('03 Balance Sheet'!E19/'01 Income Statement'!E5,"")</f>
        <v>0.3624330814045032</v>
      </c>
      <c r="F12" s="22">
        <f>IFERROR('03 Balance Sheet'!F19/'01 Income Statement'!F5,"")</f>
        <v>0.38143418376226784</v>
      </c>
      <c r="G12" s="9" t="s">
        <v>149</v>
      </c>
      <c r="H12" s="9" t="s">
        <v>149</v>
      </c>
    </row>
    <row r="13" spans="1:8" ht="27.75" customHeight="1" x14ac:dyDescent="0.3">
      <c r="A13" s="9" t="s">
        <v>150</v>
      </c>
      <c r="B13" s="22">
        <f>IFERROR('03 Balance Sheet'!B17/'01 Income Statement'!B5,"")</f>
        <v>0.2936728538691607</v>
      </c>
      <c r="C13" s="22">
        <f>IFERROR('03 Balance Sheet'!C17/'01 Income Statement'!C5,"")</f>
        <v>0.21492083411057786</v>
      </c>
      <c r="D13" s="22">
        <f>IFERROR('03 Balance Sheet'!D17/'01 Income Statement'!D5,"")</f>
        <v>0.35197065654271681</v>
      </c>
      <c r="E13" s="22">
        <f>IFERROR('03 Balance Sheet'!E17/'01 Income Statement'!E5,"")</f>
        <v>0.28116733585262166</v>
      </c>
      <c r="F13" s="22">
        <f>IFERROR('03 Balance Sheet'!F17/'01 Income Statement'!F5,"")</f>
        <v>0.23632185832207353</v>
      </c>
      <c r="G13" s="9" t="s">
        <v>151</v>
      </c>
      <c r="H13" s="9" t="s">
        <v>151</v>
      </c>
    </row>
    <row r="14" spans="1:8" ht="27.75" customHeight="1" x14ac:dyDescent="0.3">
      <c r="A14" s="9" t="s">
        <v>152</v>
      </c>
      <c r="B14" s="23">
        <f>'03 Balance Sheet'!B26-'03 Balance Sheet'!B47</f>
        <v>-405.17999999999938</v>
      </c>
      <c r="C14" s="23">
        <f>'03 Balance Sheet'!C26-'03 Balance Sheet'!C47</f>
        <v>-401.63000000000056</v>
      </c>
      <c r="D14" s="23">
        <f>'03 Balance Sheet'!D26-'03 Balance Sheet'!D47</f>
        <v>1373.77</v>
      </c>
      <c r="E14" s="23">
        <f>'03 Balance Sheet'!E26-'03 Balance Sheet'!E47</f>
        <v>2329.8900000000003</v>
      </c>
      <c r="F14" s="23">
        <f>'03 Balance Sheet'!F26-'03 Balance Sheet'!F47</f>
        <v>4263.1699999999992</v>
      </c>
      <c r="G14" s="9" t="s">
        <v>153</v>
      </c>
      <c r="H14" s="9" t="s">
        <v>153</v>
      </c>
    </row>
    <row r="15" spans="1:8" ht="27.75" customHeight="1" x14ac:dyDescent="0.3">
      <c r="A15" s="9" t="s">
        <v>154</v>
      </c>
      <c r="B15" s="22">
        <f>IFERROR(('03 Balance Sheet'!B26-'03 Balance Sheet'!B47)/'01 Income Statement'!B5,"")</f>
        <v>-0.10192156280735808</v>
      </c>
      <c r="C15" s="22">
        <f>IFERROR(('03 Balance Sheet'!C26-'03 Balance Sheet'!C47)/'01 Income Statement'!C5,"")</f>
        <v>-0.11351444544308607</v>
      </c>
      <c r="D15" s="22">
        <f>IFERROR(('03 Balance Sheet'!D26-'03 Balance Sheet'!D47)/'01 Income Statement'!D5,"")</f>
        <v>0.23546239084045351</v>
      </c>
      <c r="E15" s="22">
        <f>IFERROR(('03 Balance Sheet'!E26-'03 Balance Sheet'!E47)/'01 Income Statement'!E5,"")</f>
        <v>0.22928377420878604</v>
      </c>
      <c r="F15" s="22">
        <f>IFERROR(('03 Balance Sheet'!F26-'03 Balance Sheet'!F47)/'01 Income Statement'!F5,"")</f>
        <v>0.28319974384830715</v>
      </c>
      <c r="G15" s="9" t="s">
        <v>155</v>
      </c>
      <c r="H15" s="9" t="s">
        <v>155</v>
      </c>
    </row>
  </sheetData>
  <mergeCells count="2">
    <mergeCell ref="A2:H2"/>
    <mergeCell ref="A1:H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4"/>
  <sheetViews>
    <sheetView showGridLines="0" zoomScale="82" zoomScaleNormal="100" workbookViewId="0">
      <pane xSplit="1" ySplit="4" topLeftCell="B8" activePane="bottomRight" state="frozen"/>
      <selection pane="topRight" activeCell="C1" sqref="C1"/>
      <selection pane="bottomLeft" activeCell="A5" sqref="A5"/>
      <selection pane="bottomRight" activeCell="A8" sqref="A8"/>
    </sheetView>
  </sheetViews>
  <sheetFormatPr defaultColWidth="8.6640625" defaultRowHeight="14.25" customHeight="1" x14ac:dyDescent="0.3"/>
  <cols>
    <col min="1" max="1" width="32" customWidth="1"/>
    <col min="2" max="6" width="13" customWidth="1"/>
    <col min="7" max="7" width="14" customWidth="1"/>
    <col min="8" max="9" width="38" customWidth="1"/>
    <col min="10" max="10" width="30" customWidth="1"/>
  </cols>
  <sheetData>
    <row r="1" spans="1:10" ht="21" customHeight="1" x14ac:dyDescent="0.3">
      <c r="A1" s="28" t="s">
        <v>156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4.25" customHeight="1" x14ac:dyDescent="0.3">
      <c r="A2" s="29" t="s">
        <v>157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ht="14.4" customHeight="1" x14ac:dyDescent="0.3"/>
    <row r="4" spans="1:10" ht="14.25" customHeight="1" x14ac:dyDescent="0.3">
      <c r="A4" s="2" t="s">
        <v>158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159</v>
      </c>
      <c r="I4" s="32"/>
      <c r="J4" s="32"/>
    </row>
    <row r="5" spans="1:10" ht="27.75" customHeight="1" x14ac:dyDescent="0.3">
      <c r="A5" s="9" t="s">
        <v>160</v>
      </c>
      <c r="B5" s="9" t="s">
        <v>161</v>
      </c>
      <c r="C5" s="9" t="s">
        <v>162</v>
      </c>
      <c r="D5" s="9" t="s">
        <v>162</v>
      </c>
      <c r="E5" s="9" t="s">
        <v>162</v>
      </c>
      <c r="F5" s="9" t="s">
        <v>162</v>
      </c>
      <c r="G5" s="9" t="s">
        <v>163</v>
      </c>
      <c r="H5" s="9"/>
      <c r="I5" s="33"/>
      <c r="J5" s="32"/>
    </row>
    <row r="6" spans="1:10" ht="14.25" customHeight="1" x14ac:dyDescent="0.3">
      <c r="A6" s="9" t="s">
        <v>164</v>
      </c>
      <c r="B6" s="9" t="s">
        <v>161</v>
      </c>
      <c r="C6" s="9" t="s">
        <v>163</v>
      </c>
      <c r="D6" s="9" t="s">
        <v>162</v>
      </c>
      <c r="E6" s="9" t="s">
        <v>162</v>
      </c>
      <c r="F6" s="9" t="s">
        <v>162</v>
      </c>
      <c r="G6" s="9" t="s">
        <v>162</v>
      </c>
      <c r="H6" s="9"/>
      <c r="I6" s="9"/>
      <c r="J6" s="9"/>
    </row>
    <row r="7" spans="1:10" ht="27.75" customHeight="1" x14ac:dyDescent="0.3">
      <c r="A7" s="9" t="s">
        <v>165</v>
      </c>
      <c r="B7" s="9" t="s">
        <v>162</v>
      </c>
      <c r="C7" s="9" t="s">
        <v>162</v>
      </c>
      <c r="D7" s="9" t="s">
        <v>162</v>
      </c>
      <c r="E7" s="9" t="s">
        <v>162</v>
      </c>
      <c r="F7" s="9" t="s">
        <v>162</v>
      </c>
      <c r="G7" s="9" t="s">
        <v>162</v>
      </c>
      <c r="H7" s="9"/>
      <c r="I7" s="9"/>
      <c r="J7" s="9"/>
    </row>
    <row r="8" spans="1:10" ht="27.75" customHeight="1" x14ac:dyDescent="0.3">
      <c r="A8" s="34" t="s">
        <v>85</v>
      </c>
      <c r="B8" s="9" t="s">
        <v>161</v>
      </c>
      <c r="C8" s="9" t="s">
        <v>161</v>
      </c>
      <c r="D8" s="9" t="s">
        <v>163</v>
      </c>
      <c r="E8" s="9" t="s">
        <v>163</v>
      </c>
      <c r="F8" s="9" t="s">
        <v>161</v>
      </c>
      <c r="G8" s="9" t="s">
        <v>161</v>
      </c>
      <c r="H8" s="9"/>
      <c r="I8" s="9"/>
      <c r="J8" s="9"/>
    </row>
    <row r="9" spans="1:10" ht="14.25" customHeight="1" x14ac:dyDescent="0.3">
      <c r="A9" s="9" t="s">
        <v>166</v>
      </c>
      <c r="B9" s="9" t="s">
        <v>162</v>
      </c>
      <c r="C9" s="9" t="s">
        <v>162</v>
      </c>
      <c r="D9" s="9" t="s">
        <v>162</v>
      </c>
      <c r="E9" s="9" t="s">
        <v>161</v>
      </c>
      <c r="F9" s="9" t="s">
        <v>161</v>
      </c>
      <c r="G9" s="9" t="s">
        <v>161</v>
      </c>
      <c r="H9" s="9"/>
      <c r="I9" s="9"/>
      <c r="J9" s="9"/>
    </row>
    <row r="10" spans="1:10" ht="27.75" customHeight="1" x14ac:dyDescent="0.3">
      <c r="A10" s="9" t="s">
        <v>167</v>
      </c>
      <c r="B10" s="9" t="s">
        <v>161</v>
      </c>
      <c r="C10" s="9" t="s">
        <v>163</v>
      </c>
      <c r="D10" s="9" t="s">
        <v>163</v>
      </c>
      <c r="E10" s="9" t="s">
        <v>162</v>
      </c>
      <c r="F10" s="9" t="s">
        <v>162</v>
      </c>
      <c r="G10" s="9" t="s">
        <v>163</v>
      </c>
      <c r="H10" s="9"/>
      <c r="I10" s="9"/>
      <c r="J10" s="9"/>
    </row>
    <row r="11" spans="1:10" ht="27.75" customHeight="1" x14ac:dyDescent="0.3">
      <c r="A11" s="9" t="s">
        <v>168</v>
      </c>
      <c r="B11" s="9" t="s">
        <v>161</v>
      </c>
      <c r="C11" s="9" t="s">
        <v>161</v>
      </c>
      <c r="D11" s="9" t="s">
        <v>163</v>
      </c>
      <c r="E11" s="9" t="s">
        <v>163</v>
      </c>
      <c r="F11" s="9" t="s">
        <v>161</v>
      </c>
      <c r="G11" s="9" t="s">
        <v>163</v>
      </c>
      <c r="H11" s="9"/>
      <c r="I11" s="9"/>
      <c r="J11" s="9"/>
    </row>
    <row r="12" spans="1:10" ht="27.75" customHeight="1" x14ac:dyDescent="0.3">
      <c r="A12" s="9" t="s">
        <v>169</v>
      </c>
      <c r="B12" s="9" t="s">
        <v>163</v>
      </c>
      <c r="C12" s="9" t="s">
        <v>162</v>
      </c>
      <c r="D12" s="9" t="s">
        <v>163</v>
      </c>
      <c r="E12" s="9" t="s">
        <v>163</v>
      </c>
      <c r="F12" s="9" t="s">
        <v>163</v>
      </c>
      <c r="G12" s="9" t="s">
        <v>163</v>
      </c>
      <c r="H12" s="9"/>
      <c r="I12" s="9"/>
      <c r="J12" s="9"/>
    </row>
    <row r="13" spans="1:10" ht="14.25" customHeight="1" x14ac:dyDescent="0.3">
      <c r="A13" s="9" t="s">
        <v>170</v>
      </c>
      <c r="B13" s="9" t="s">
        <v>163</v>
      </c>
      <c r="C13" s="9" t="s">
        <v>162</v>
      </c>
      <c r="D13" s="9" t="s">
        <v>163</v>
      </c>
      <c r="E13" s="9" t="s">
        <v>163</v>
      </c>
      <c r="F13" s="9" t="s">
        <v>163</v>
      </c>
      <c r="G13" s="9" t="s">
        <v>163</v>
      </c>
      <c r="H13" s="9"/>
      <c r="I13" s="9"/>
      <c r="J13" s="9"/>
    </row>
    <row r="14" spans="1:10" ht="27.75" customHeight="1" x14ac:dyDescent="0.3">
      <c r="A14" s="9" t="s">
        <v>171</v>
      </c>
      <c r="B14" s="9" t="s">
        <v>161</v>
      </c>
      <c r="C14" s="9" t="s">
        <v>161</v>
      </c>
      <c r="D14" s="9" t="s">
        <v>163</v>
      </c>
      <c r="E14" s="9" t="s">
        <v>162</v>
      </c>
      <c r="F14" s="9" t="s">
        <v>162</v>
      </c>
      <c r="G14" s="9" t="s">
        <v>163</v>
      </c>
      <c r="H14" s="9"/>
      <c r="I14" s="9"/>
      <c r="J14" s="9"/>
    </row>
    <row r="15" spans="1:10" ht="27.75" customHeight="1" x14ac:dyDescent="0.3">
      <c r="A15" s="34" t="s">
        <v>172</v>
      </c>
      <c r="B15" s="9" t="s">
        <v>161</v>
      </c>
      <c r="C15" s="9" t="s">
        <v>161</v>
      </c>
      <c r="D15" s="9" t="s">
        <v>163</v>
      </c>
      <c r="E15" s="9" t="s">
        <v>162</v>
      </c>
      <c r="F15" s="9" t="s">
        <v>162</v>
      </c>
      <c r="G15" s="9" t="s">
        <v>161</v>
      </c>
      <c r="H15" s="9"/>
      <c r="I15" s="9"/>
      <c r="J15" s="9"/>
    </row>
    <row r="16" spans="1:10" ht="27.75" customHeight="1" x14ac:dyDescent="0.3">
      <c r="A16" s="9" t="s">
        <v>173</v>
      </c>
      <c r="B16" s="9" t="s">
        <v>163</v>
      </c>
      <c r="C16" s="9" t="s">
        <v>163</v>
      </c>
      <c r="D16" s="9" t="s">
        <v>162</v>
      </c>
      <c r="E16" s="9" t="s">
        <v>162</v>
      </c>
      <c r="F16" s="9" t="s">
        <v>162</v>
      </c>
      <c r="G16" s="9" t="s">
        <v>163</v>
      </c>
      <c r="H16" s="9"/>
      <c r="I16" s="9"/>
      <c r="J16" s="9"/>
    </row>
    <row r="17" spans="1:10" ht="27.75" customHeight="1" x14ac:dyDescent="0.3">
      <c r="A17" s="9" t="s">
        <v>174</v>
      </c>
      <c r="B17" s="9" t="s">
        <v>163</v>
      </c>
      <c r="C17" s="9" t="s">
        <v>163</v>
      </c>
      <c r="D17" s="9" t="s">
        <v>162</v>
      </c>
      <c r="E17" s="9" t="s">
        <v>163</v>
      </c>
      <c r="F17" s="9" t="s">
        <v>163</v>
      </c>
      <c r="G17" s="9" t="s">
        <v>163</v>
      </c>
      <c r="H17" s="9"/>
      <c r="I17" s="9"/>
      <c r="J17" s="9"/>
    </row>
    <row r="18" spans="1:10" ht="27.75" customHeight="1" x14ac:dyDescent="0.3">
      <c r="A18" s="9" t="s">
        <v>175</v>
      </c>
      <c r="B18" s="9" t="s">
        <v>163</v>
      </c>
      <c r="C18" s="9" t="s">
        <v>163</v>
      </c>
      <c r="D18" s="9" t="s">
        <v>163</v>
      </c>
      <c r="E18" s="9" t="s">
        <v>163</v>
      </c>
      <c r="F18" s="9" t="s">
        <v>163</v>
      </c>
      <c r="G18" s="9" t="s">
        <v>163</v>
      </c>
      <c r="H18" s="9"/>
      <c r="I18" s="9"/>
      <c r="J18" s="9"/>
    </row>
    <row r="19" spans="1:10" ht="27.75" customHeight="1" x14ac:dyDescent="0.3">
      <c r="A19" s="9" t="s">
        <v>176</v>
      </c>
      <c r="B19" s="9" t="s">
        <v>161</v>
      </c>
      <c r="C19" s="9" t="s">
        <v>161</v>
      </c>
      <c r="D19" s="9" t="s">
        <v>163</v>
      </c>
      <c r="E19" s="9" t="s">
        <v>163</v>
      </c>
      <c r="F19" s="9" t="s">
        <v>163</v>
      </c>
      <c r="G19" s="9" t="s">
        <v>163</v>
      </c>
      <c r="H19" s="9"/>
      <c r="I19" s="9"/>
      <c r="J19" s="9"/>
    </row>
    <row r="20" spans="1:10" ht="27.75" customHeight="1" x14ac:dyDescent="0.3">
      <c r="A20" s="9" t="s">
        <v>177</v>
      </c>
      <c r="B20" s="9" t="s">
        <v>163</v>
      </c>
      <c r="C20" s="9" t="s">
        <v>163</v>
      </c>
      <c r="D20" s="9" t="s">
        <v>162</v>
      </c>
      <c r="E20" s="9" t="s">
        <v>163</v>
      </c>
      <c r="F20" s="9" t="s">
        <v>163</v>
      </c>
      <c r="G20" s="9" t="s">
        <v>163</v>
      </c>
      <c r="H20" s="9"/>
      <c r="I20" s="9"/>
      <c r="J20" s="9"/>
    </row>
    <row r="21" spans="1:10" ht="27.75" customHeight="1" x14ac:dyDescent="0.3">
      <c r="A21" s="9" t="s">
        <v>178</v>
      </c>
      <c r="B21" s="9" t="s">
        <v>161</v>
      </c>
      <c r="C21" s="9" t="s">
        <v>161</v>
      </c>
      <c r="D21" s="9" t="s">
        <v>163</v>
      </c>
      <c r="E21" s="9" t="s">
        <v>162</v>
      </c>
      <c r="F21" s="9" t="s">
        <v>162</v>
      </c>
      <c r="G21" s="9" t="s">
        <v>163</v>
      </c>
      <c r="H21" s="9"/>
      <c r="I21" s="9"/>
      <c r="J21" s="9"/>
    </row>
    <row r="22" spans="1:10" ht="27.75" customHeight="1" x14ac:dyDescent="0.3">
      <c r="A22" s="9" t="s">
        <v>179</v>
      </c>
      <c r="B22" s="9" t="s">
        <v>163</v>
      </c>
      <c r="C22" s="9" t="s">
        <v>163</v>
      </c>
      <c r="D22" s="9" t="s">
        <v>162</v>
      </c>
      <c r="E22" s="9" t="s">
        <v>162</v>
      </c>
      <c r="F22" s="9" t="s">
        <v>162</v>
      </c>
      <c r="G22" s="9" t="s">
        <v>162</v>
      </c>
      <c r="H22" s="9"/>
      <c r="I22" s="9"/>
      <c r="J22" s="9"/>
    </row>
    <row r="23" spans="1:10" ht="27.75" customHeight="1" x14ac:dyDescent="0.3">
      <c r="A23" s="9" t="s">
        <v>180</v>
      </c>
      <c r="B23" s="9" t="s">
        <v>162</v>
      </c>
      <c r="C23" s="9" t="s">
        <v>162</v>
      </c>
      <c r="D23" s="9" t="s">
        <v>162</v>
      </c>
      <c r="E23" s="9" t="s">
        <v>162</v>
      </c>
      <c r="F23" s="9" t="s">
        <v>162</v>
      </c>
      <c r="G23" s="9" t="s">
        <v>162</v>
      </c>
      <c r="H23" s="9"/>
      <c r="I23" s="9"/>
      <c r="J23" s="9"/>
    </row>
    <row r="24" spans="1:10" ht="27.75" customHeight="1" x14ac:dyDescent="0.3">
      <c r="A24" s="9" t="s">
        <v>181</v>
      </c>
      <c r="B24" s="9" t="s">
        <v>163</v>
      </c>
      <c r="C24" s="9" t="s">
        <v>161</v>
      </c>
      <c r="D24" s="9" t="s">
        <v>161</v>
      </c>
      <c r="E24" s="9" t="s">
        <v>163</v>
      </c>
      <c r="F24" s="9" t="s">
        <v>161</v>
      </c>
      <c r="G24" s="9" t="s">
        <v>161</v>
      </c>
      <c r="H24" s="9"/>
      <c r="I24" s="9"/>
      <c r="J24" s="9"/>
    </row>
  </sheetData>
  <autoFilter ref="A4:G24" xr:uid="{00000000-0009-0000-0000-000005000000}"/>
  <mergeCells count="2">
    <mergeCell ref="A2:J2"/>
    <mergeCell ref="A1:J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23"/>
  <sheetViews>
    <sheetView showGridLines="0" zoomScale="85" zoomScaleNormal="85" workbookViewId="0">
      <pane xSplit="2" ySplit="4" topLeftCell="C12" activePane="bottomRight" state="frozen"/>
      <selection pane="topRight" activeCell="D1" sqref="D1"/>
      <selection pane="bottomLeft" activeCell="A5" sqref="A5"/>
      <selection pane="bottomRight" activeCell="B20" sqref="B20"/>
    </sheetView>
  </sheetViews>
  <sheetFormatPr defaultColWidth="8.6640625" defaultRowHeight="14.25" customHeight="1" x14ac:dyDescent="0.3"/>
  <cols>
    <col min="1" max="1" width="10" customWidth="1"/>
    <col min="2" max="2" width="28.44140625" bestFit="1" customWidth="1"/>
    <col min="3" max="8" width="23" customWidth="1"/>
    <col min="9" max="9" width="28" customWidth="1"/>
    <col min="10" max="10" width="30" customWidth="1"/>
    <col min="11" max="11" width="38" customWidth="1"/>
    <col min="12" max="12" width="32" customWidth="1"/>
  </cols>
  <sheetData>
    <row r="1" spans="1:11" ht="21" customHeight="1" x14ac:dyDescent="0.3">
      <c r="A1" s="28" t="s">
        <v>182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25" customHeight="1" x14ac:dyDescent="0.3">
      <c r="A2" s="29" t="s">
        <v>183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4.4" customHeight="1" x14ac:dyDescent="0.3"/>
    <row r="4" spans="1:11" ht="14.25" customHeight="1" x14ac:dyDescent="0.3">
      <c r="A4" s="2" t="s">
        <v>184</v>
      </c>
      <c r="B4" s="2" t="s">
        <v>185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79</v>
      </c>
      <c r="I4" s="32"/>
      <c r="J4" s="32"/>
      <c r="K4" s="32"/>
    </row>
    <row r="5" spans="1:11" ht="81.75" customHeight="1" x14ac:dyDescent="0.3">
      <c r="A5" s="9" t="s">
        <v>186</v>
      </c>
      <c r="B5" s="9" t="s">
        <v>187</v>
      </c>
      <c r="C5" s="3">
        <v>3068883.61</v>
      </c>
      <c r="D5" s="3">
        <v>4668645.5599999996</v>
      </c>
      <c r="E5" s="3">
        <v>293268.44</v>
      </c>
      <c r="F5" s="3">
        <v>410930.69</v>
      </c>
      <c r="G5" s="3">
        <v>452133.76</v>
      </c>
      <c r="H5" s="3" t="s">
        <v>188</v>
      </c>
      <c r="I5" s="9"/>
      <c r="J5" s="9"/>
      <c r="K5" s="9"/>
    </row>
    <row r="6" spans="1:11" ht="41.25" customHeight="1" x14ac:dyDescent="0.3">
      <c r="A6" s="9" t="s">
        <v>186</v>
      </c>
      <c r="B6" s="9" t="s">
        <v>189</v>
      </c>
      <c r="C6" s="3">
        <v>38523.370000000003</v>
      </c>
      <c r="D6" s="3">
        <v>19354.900000000001</v>
      </c>
      <c r="E6" s="3">
        <v>17830</v>
      </c>
      <c r="F6" s="3">
        <v>92428.3</v>
      </c>
      <c r="G6" s="3">
        <v>113500.39</v>
      </c>
      <c r="H6" s="3" t="s">
        <v>190</v>
      </c>
      <c r="I6" s="9"/>
      <c r="J6" s="9"/>
      <c r="K6" s="9"/>
    </row>
    <row r="7" spans="1:11" ht="27.75" customHeight="1" x14ac:dyDescent="0.3">
      <c r="A7" s="9" t="s">
        <v>186</v>
      </c>
      <c r="B7" s="9" t="s">
        <v>191</v>
      </c>
      <c r="C7" s="3">
        <v>7944</v>
      </c>
      <c r="D7" s="3">
        <v>6183</v>
      </c>
      <c r="E7" s="3">
        <v>5969</v>
      </c>
      <c r="F7" s="3">
        <v>9002</v>
      </c>
      <c r="G7" s="3">
        <v>6835</v>
      </c>
      <c r="H7" s="3" t="s">
        <v>192</v>
      </c>
      <c r="I7" s="9"/>
      <c r="J7" s="9"/>
      <c r="K7" s="9"/>
    </row>
    <row r="8" spans="1:11" ht="41.25" customHeight="1" x14ac:dyDescent="0.3">
      <c r="A8" s="9" t="s">
        <v>186</v>
      </c>
      <c r="B8" s="9" t="s">
        <v>193</v>
      </c>
      <c r="C8" s="3"/>
      <c r="D8" s="3">
        <v>27885</v>
      </c>
      <c r="E8" s="3">
        <v>40264</v>
      </c>
      <c r="F8" s="3">
        <v>39924</v>
      </c>
      <c r="G8" s="3">
        <v>49564</v>
      </c>
      <c r="H8" s="3" t="s">
        <v>194</v>
      </c>
      <c r="I8" s="9"/>
      <c r="J8" s="9"/>
      <c r="K8" s="9"/>
    </row>
    <row r="9" spans="1:11" ht="81.75" customHeight="1" x14ac:dyDescent="0.3">
      <c r="A9" s="9" t="s">
        <v>186</v>
      </c>
      <c r="B9" s="9" t="s">
        <v>195</v>
      </c>
      <c r="C9" s="3"/>
      <c r="D9" s="3">
        <v>9875338</v>
      </c>
      <c r="E9" s="3">
        <v>18182</v>
      </c>
      <c r="F9" s="3">
        <v>795453</v>
      </c>
      <c r="G9" s="3">
        <v>1287876</v>
      </c>
      <c r="H9" s="3" t="s">
        <v>196</v>
      </c>
      <c r="I9" s="9"/>
      <c r="J9" s="9"/>
      <c r="K9" s="9"/>
    </row>
    <row r="10" spans="1:11" ht="41.25" customHeight="1" x14ac:dyDescent="0.3">
      <c r="A10" s="9" t="s">
        <v>186</v>
      </c>
      <c r="B10" s="9" t="s">
        <v>197</v>
      </c>
      <c r="C10" s="3"/>
      <c r="D10" s="3">
        <v>4.59</v>
      </c>
      <c r="E10" s="3">
        <v>6.9599999999999999E-7</v>
      </c>
      <c r="F10" s="3">
        <v>4.4999999999999998E-7</v>
      </c>
      <c r="G10" s="3">
        <v>3.2000000000000001E-7</v>
      </c>
      <c r="H10" s="3" t="s">
        <v>198</v>
      </c>
      <c r="I10" s="9"/>
      <c r="J10" s="9"/>
      <c r="K10" s="9"/>
    </row>
    <row r="11" spans="1:11" ht="54.75" customHeight="1" x14ac:dyDescent="0.3">
      <c r="A11" s="9" t="s">
        <v>186</v>
      </c>
      <c r="B11" s="9" t="s">
        <v>199</v>
      </c>
      <c r="C11" s="3">
        <v>223936.97</v>
      </c>
      <c r="D11" s="3">
        <v>178180.72</v>
      </c>
      <c r="E11" s="3">
        <v>309180</v>
      </c>
      <c r="F11" s="3">
        <v>255838.74</v>
      </c>
      <c r="G11" s="3">
        <v>344324</v>
      </c>
      <c r="H11" s="3" t="s">
        <v>200</v>
      </c>
      <c r="I11" s="9"/>
      <c r="J11" s="9"/>
      <c r="K11" s="9"/>
    </row>
    <row r="12" spans="1:11" ht="54.75" customHeight="1" x14ac:dyDescent="0.3">
      <c r="A12" s="9" t="s">
        <v>186</v>
      </c>
      <c r="B12" s="9" t="s">
        <v>201</v>
      </c>
      <c r="C12" s="3">
        <v>223936.97</v>
      </c>
      <c r="D12" s="3">
        <v>178180.72</v>
      </c>
      <c r="E12" s="3"/>
      <c r="F12" s="3">
        <v>205395.68</v>
      </c>
      <c r="G12" s="3">
        <v>342525</v>
      </c>
      <c r="H12" s="3" t="s">
        <v>202</v>
      </c>
      <c r="I12" s="9"/>
      <c r="J12" s="9"/>
      <c r="K12" s="9"/>
    </row>
    <row r="13" spans="1:11" ht="41.25" customHeight="1" x14ac:dyDescent="0.3">
      <c r="A13" s="9" t="s">
        <v>186</v>
      </c>
      <c r="B13" s="9" t="s">
        <v>203</v>
      </c>
      <c r="C13" s="3" t="s">
        <v>204</v>
      </c>
      <c r="D13" s="3" t="s">
        <v>204</v>
      </c>
      <c r="E13" s="3" t="s">
        <v>204</v>
      </c>
      <c r="F13" s="3" t="s">
        <v>205</v>
      </c>
      <c r="G13" s="3" t="s">
        <v>206</v>
      </c>
      <c r="H13" s="3" t="s">
        <v>207</v>
      </c>
      <c r="I13" s="9"/>
      <c r="J13" s="9"/>
      <c r="K13" s="9"/>
    </row>
    <row r="14" spans="1:11" ht="27.75" customHeight="1" x14ac:dyDescent="0.3">
      <c r="A14" s="9" t="s">
        <v>186</v>
      </c>
      <c r="B14" s="9" t="s">
        <v>208</v>
      </c>
      <c r="C14" s="3" t="s">
        <v>204</v>
      </c>
      <c r="D14" s="3" t="s">
        <v>204</v>
      </c>
      <c r="E14" s="3" t="s">
        <v>209</v>
      </c>
      <c r="F14" s="3" t="s">
        <v>210</v>
      </c>
      <c r="G14" s="3" t="s">
        <v>210</v>
      </c>
      <c r="H14" s="3" t="s">
        <v>211</v>
      </c>
      <c r="I14" s="9"/>
      <c r="J14" s="9"/>
      <c r="K14" s="9"/>
    </row>
    <row r="15" spans="1:11" ht="54.75" customHeight="1" x14ac:dyDescent="0.3">
      <c r="A15" s="9" t="s">
        <v>186</v>
      </c>
      <c r="B15" s="9" t="s">
        <v>212</v>
      </c>
      <c r="C15" s="3" t="s">
        <v>213</v>
      </c>
      <c r="D15" s="3" t="s">
        <v>214</v>
      </c>
      <c r="E15" s="3" t="s">
        <v>214</v>
      </c>
      <c r="F15" s="3" t="s">
        <v>214</v>
      </c>
      <c r="G15" s="3" t="s">
        <v>214</v>
      </c>
      <c r="H15" s="3" t="s">
        <v>215</v>
      </c>
      <c r="I15" s="9"/>
      <c r="J15" s="9"/>
      <c r="K15" s="9"/>
    </row>
    <row r="16" spans="1:11" ht="41.25" customHeight="1" x14ac:dyDescent="0.3">
      <c r="A16" s="9" t="s">
        <v>216</v>
      </c>
      <c r="B16" s="9" t="s">
        <v>217</v>
      </c>
      <c r="C16" s="3">
        <v>1592</v>
      </c>
      <c r="D16" s="3">
        <v>1451</v>
      </c>
      <c r="E16" s="3">
        <v>1528</v>
      </c>
      <c r="F16" s="3">
        <v>1680</v>
      </c>
      <c r="G16" s="3">
        <v>5603</v>
      </c>
      <c r="H16" s="3" t="s">
        <v>218</v>
      </c>
      <c r="I16" s="9"/>
      <c r="J16" s="9"/>
      <c r="K16" s="9"/>
    </row>
    <row r="17" spans="1:11" ht="41.25" customHeight="1" x14ac:dyDescent="0.3">
      <c r="A17" s="9" t="s">
        <v>216</v>
      </c>
      <c r="B17" s="9" t="s">
        <v>219</v>
      </c>
      <c r="C17" s="3" t="s">
        <v>204</v>
      </c>
      <c r="D17" s="3" t="s">
        <v>213</v>
      </c>
      <c r="E17" s="3" t="s">
        <v>220</v>
      </c>
      <c r="F17" s="3" t="s">
        <v>221</v>
      </c>
      <c r="G17" s="3" t="s">
        <v>222</v>
      </c>
      <c r="H17" s="3" t="s">
        <v>223</v>
      </c>
      <c r="I17" s="9"/>
      <c r="J17" s="9"/>
      <c r="K17" s="9"/>
    </row>
    <row r="18" spans="1:11" ht="14.25" customHeight="1" x14ac:dyDescent="0.3">
      <c r="A18" s="9" t="s">
        <v>216</v>
      </c>
      <c r="B18" s="9" t="s">
        <v>224</v>
      </c>
      <c r="C18" s="3" t="s">
        <v>225</v>
      </c>
      <c r="D18" s="3" t="s">
        <v>226</v>
      </c>
      <c r="E18" s="3"/>
      <c r="F18" s="3"/>
      <c r="G18" s="3"/>
      <c r="H18" s="3" t="s">
        <v>227</v>
      </c>
      <c r="I18" s="9"/>
      <c r="J18" s="9"/>
      <c r="K18" s="9"/>
    </row>
    <row r="19" spans="1:11" ht="27.75" customHeight="1" x14ac:dyDescent="0.3">
      <c r="A19" s="9" t="s">
        <v>216</v>
      </c>
      <c r="B19" s="9" t="s">
        <v>228</v>
      </c>
      <c r="C19" s="3" t="s">
        <v>204</v>
      </c>
      <c r="D19" s="3" t="s">
        <v>229</v>
      </c>
      <c r="E19" s="3" t="s">
        <v>229</v>
      </c>
      <c r="F19" s="3" t="s">
        <v>230</v>
      </c>
      <c r="G19" s="3" t="s">
        <v>231</v>
      </c>
      <c r="H19" s="3" t="s">
        <v>232</v>
      </c>
      <c r="I19" s="9"/>
      <c r="J19" s="9"/>
      <c r="K19" s="9"/>
    </row>
    <row r="20" spans="1:11" ht="68.25" customHeight="1" x14ac:dyDescent="0.3">
      <c r="A20" s="9" t="s">
        <v>216</v>
      </c>
      <c r="B20" s="9" t="s">
        <v>233</v>
      </c>
      <c r="C20" s="3" t="s">
        <v>234</v>
      </c>
      <c r="D20" s="3" t="s">
        <v>235</v>
      </c>
      <c r="E20" s="3" t="s">
        <v>236</v>
      </c>
      <c r="F20" s="3" t="s">
        <v>237</v>
      </c>
      <c r="G20" s="3" t="s">
        <v>238</v>
      </c>
      <c r="H20" s="3" t="s">
        <v>239</v>
      </c>
      <c r="I20" s="9"/>
      <c r="J20" s="9"/>
      <c r="K20" s="9"/>
    </row>
    <row r="21" spans="1:11" ht="41.25" customHeight="1" x14ac:dyDescent="0.3">
      <c r="A21" s="9" t="s">
        <v>216</v>
      </c>
      <c r="B21" s="9" t="s">
        <v>240</v>
      </c>
      <c r="C21" s="3" t="s">
        <v>214</v>
      </c>
      <c r="D21" s="3" t="s">
        <v>214</v>
      </c>
      <c r="E21" s="3" t="s">
        <v>214</v>
      </c>
      <c r="F21" s="3" t="s">
        <v>241</v>
      </c>
      <c r="G21" s="3" t="s">
        <v>242</v>
      </c>
      <c r="H21" s="3" t="s">
        <v>243</v>
      </c>
      <c r="I21" s="9"/>
      <c r="J21" s="9"/>
      <c r="K21" s="9"/>
    </row>
    <row r="22" spans="1:11" ht="54.75" customHeight="1" x14ac:dyDescent="0.3">
      <c r="A22" s="9" t="s">
        <v>216</v>
      </c>
      <c r="B22" s="9" t="s">
        <v>244</v>
      </c>
      <c r="C22" s="3" t="s">
        <v>245</v>
      </c>
      <c r="D22" s="3" t="s">
        <v>245</v>
      </c>
      <c r="E22" s="3" t="s">
        <v>245</v>
      </c>
      <c r="F22" s="3" t="s">
        <v>246</v>
      </c>
      <c r="G22" s="3" t="s">
        <v>247</v>
      </c>
      <c r="H22" s="3" t="s">
        <v>248</v>
      </c>
      <c r="I22" s="9"/>
      <c r="J22" s="9"/>
      <c r="K22" s="9"/>
    </row>
    <row r="23" spans="1:11" ht="41.25" customHeight="1" x14ac:dyDescent="0.3">
      <c r="A23" s="9" t="s">
        <v>216</v>
      </c>
      <c r="B23" s="9" t="s">
        <v>249</v>
      </c>
      <c r="C23" s="3" t="s">
        <v>250</v>
      </c>
      <c r="D23" s="3" t="s">
        <v>251</v>
      </c>
      <c r="E23" s="3" t="s">
        <v>252</v>
      </c>
      <c r="F23" s="3" t="s">
        <v>253</v>
      </c>
      <c r="G23" s="3" t="s">
        <v>254</v>
      </c>
      <c r="H23" s="3" t="s">
        <v>255</v>
      </c>
      <c r="I23" s="9"/>
      <c r="J23" s="9"/>
      <c r="K23" s="9"/>
    </row>
  </sheetData>
  <mergeCells count="2">
    <mergeCell ref="A2:K2"/>
    <mergeCell ref="A1:K1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1"/>
  <sheetViews>
    <sheetView showGridLines="0" zoomScaleNormal="100" workbookViewId="0">
      <pane xSplit="1" ySplit="4" topLeftCell="E11" activePane="bottomRight" state="frozen"/>
      <selection pane="topRight" activeCell="C1" sqref="C1"/>
      <selection pane="bottomLeft" activeCell="A5" sqref="A5"/>
      <selection pane="bottomRight" activeCell="H21" sqref="H21"/>
    </sheetView>
  </sheetViews>
  <sheetFormatPr defaultColWidth="8.6640625" defaultRowHeight="14.25" customHeight="1" x14ac:dyDescent="0.3"/>
  <cols>
    <col min="1" max="1" width="28" customWidth="1"/>
    <col min="2" max="6" width="35" customWidth="1"/>
    <col min="7" max="7" width="48" customWidth="1"/>
    <col min="8" max="8" width="60" customWidth="1"/>
  </cols>
  <sheetData>
    <row r="1" spans="1:8" ht="21" customHeight="1" x14ac:dyDescent="0.3">
      <c r="A1" s="28" t="s">
        <v>256</v>
      </c>
      <c r="B1" s="30"/>
      <c r="C1" s="30"/>
      <c r="D1" s="30"/>
      <c r="E1" s="30"/>
      <c r="F1" s="30"/>
      <c r="G1" s="30"/>
      <c r="H1" s="30"/>
    </row>
    <row r="2" spans="1:8" ht="14.25" customHeight="1" x14ac:dyDescent="0.3">
      <c r="A2" s="29" t="s">
        <v>257</v>
      </c>
      <c r="B2" s="30"/>
      <c r="C2" s="30"/>
      <c r="D2" s="30"/>
      <c r="E2" s="30"/>
      <c r="F2" s="30"/>
      <c r="G2" s="30"/>
      <c r="H2" s="30"/>
    </row>
    <row r="3" spans="1:8" ht="14.4" customHeight="1" x14ac:dyDescent="0.3"/>
    <row r="4" spans="1:8" ht="14.25" customHeight="1" x14ac:dyDescent="0.3">
      <c r="A4" s="2" t="s">
        <v>258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259</v>
      </c>
      <c r="H4" s="2" t="s">
        <v>423</v>
      </c>
    </row>
    <row r="5" spans="1:8" ht="27.75" customHeight="1" x14ac:dyDescent="0.3">
      <c r="A5" s="9" t="s">
        <v>260</v>
      </c>
      <c r="B5" s="3" t="s">
        <v>261</v>
      </c>
      <c r="C5" s="3" t="s">
        <v>262</v>
      </c>
      <c r="D5" s="3" t="s">
        <v>263</v>
      </c>
      <c r="E5" s="3" t="s">
        <v>264</v>
      </c>
      <c r="F5" s="3" t="s">
        <v>265</v>
      </c>
      <c r="G5" s="3" t="s">
        <v>266</v>
      </c>
      <c r="H5" s="3" t="s">
        <v>267</v>
      </c>
    </row>
    <row r="6" spans="1:8" ht="41.25" customHeight="1" x14ac:dyDescent="0.3">
      <c r="A6" s="9" t="s">
        <v>268</v>
      </c>
      <c r="B6" s="3" t="s">
        <v>269</v>
      </c>
      <c r="C6" s="3" t="s">
        <v>270</v>
      </c>
      <c r="D6" s="3" t="s">
        <v>271</v>
      </c>
      <c r="E6" s="3" t="s">
        <v>272</v>
      </c>
      <c r="F6" s="3" t="s">
        <v>273</v>
      </c>
      <c r="G6" s="3" t="s">
        <v>274</v>
      </c>
      <c r="H6" s="3" t="s">
        <v>275</v>
      </c>
    </row>
    <row r="7" spans="1:8" ht="27.75" customHeight="1" x14ac:dyDescent="0.3">
      <c r="A7" s="9" t="s">
        <v>276</v>
      </c>
      <c r="B7" s="3" t="s">
        <v>277</v>
      </c>
      <c r="C7" s="3" t="s">
        <v>278</v>
      </c>
      <c r="D7" s="3" t="s">
        <v>279</v>
      </c>
      <c r="E7" s="3" t="s">
        <v>280</v>
      </c>
      <c r="F7" s="3" t="s">
        <v>281</v>
      </c>
      <c r="G7" s="3" t="s">
        <v>282</v>
      </c>
      <c r="H7" s="3" t="s">
        <v>283</v>
      </c>
    </row>
    <row r="8" spans="1:8" ht="27.75" customHeight="1" x14ac:dyDescent="0.3">
      <c r="A8" s="9" t="s">
        <v>284</v>
      </c>
      <c r="B8" s="3" t="s">
        <v>285</v>
      </c>
      <c r="C8" s="3" t="s">
        <v>286</v>
      </c>
      <c r="D8" s="3" t="s">
        <v>287</v>
      </c>
      <c r="E8" s="3" t="s">
        <v>288</v>
      </c>
      <c r="F8" s="3" t="s">
        <v>289</v>
      </c>
      <c r="G8" s="3" t="s">
        <v>290</v>
      </c>
      <c r="H8" s="3" t="s">
        <v>291</v>
      </c>
    </row>
    <row r="9" spans="1:8" ht="27.75" customHeight="1" x14ac:dyDescent="0.3">
      <c r="A9" s="9" t="s">
        <v>292</v>
      </c>
      <c r="B9" s="3" t="s">
        <v>293</v>
      </c>
      <c r="C9" s="3" t="s">
        <v>294</v>
      </c>
      <c r="D9" s="3" t="s">
        <v>295</v>
      </c>
      <c r="E9" s="3" t="s">
        <v>296</v>
      </c>
      <c r="F9" s="3" t="s">
        <v>297</v>
      </c>
      <c r="G9" s="3" t="s">
        <v>298</v>
      </c>
      <c r="H9" s="3" t="s">
        <v>299</v>
      </c>
    </row>
    <row r="10" spans="1:8" ht="27.75" customHeight="1" x14ac:dyDescent="0.3">
      <c r="A10" s="9" t="s">
        <v>300</v>
      </c>
      <c r="B10" s="3" t="s">
        <v>301</v>
      </c>
      <c r="C10" s="3" t="s">
        <v>302</v>
      </c>
      <c r="D10" s="3" t="s">
        <v>303</v>
      </c>
      <c r="E10" s="3" t="s">
        <v>304</v>
      </c>
      <c r="F10" s="3" t="s">
        <v>305</v>
      </c>
      <c r="G10" s="3" t="s">
        <v>306</v>
      </c>
      <c r="H10" s="3" t="s">
        <v>307</v>
      </c>
    </row>
    <row r="11" spans="1:8" ht="27.75" customHeight="1" x14ac:dyDescent="0.3">
      <c r="A11" s="9" t="s">
        <v>308</v>
      </c>
      <c r="B11" s="3" t="s">
        <v>309</v>
      </c>
      <c r="C11" s="3" t="s">
        <v>310</v>
      </c>
      <c r="D11" s="3" t="s">
        <v>311</v>
      </c>
      <c r="E11" s="3" t="s">
        <v>312</v>
      </c>
      <c r="F11" s="3" t="s">
        <v>313</v>
      </c>
      <c r="G11" s="3" t="s">
        <v>314</v>
      </c>
      <c r="H11" s="3" t="s">
        <v>315</v>
      </c>
    </row>
    <row r="12" spans="1:8" ht="27.75" customHeight="1" x14ac:dyDescent="0.3">
      <c r="A12" s="9" t="s">
        <v>316</v>
      </c>
      <c r="B12" s="3" t="s">
        <v>317</v>
      </c>
      <c r="C12" s="3" t="s">
        <v>318</v>
      </c>
      <c r="D12" s="3" t="s">
        <v>319</v>
      </c>
      <c r="E12" s="3" t="s">
        <v>320</v>
      </c>
      <c r="F12" s="3" t="s">
        <v>321</v>
      </c>
      <c r="G12" s="3" t="s">
        <v>322</v>
      </c>
      <c r="H12" s="3" t="s">
        <v>323</v>
      </c>
    </row>
    <row r="13" spans="1:8" ht="27.75" customHeight="1" x14ac:dyDescent="0.3">
      <c r="A13" s="9" t="s">
        <v>324</v>
      </c>
      <c r="B13" s="3" t="s">
        <v>325</v>
      </c>
      <c r="C13" s="3" t="s">
        <v>326</v>
      </c>
      <c r="D13" s="3" t="s">
        <v>327</v>
      </c>
      <c r="E13" s="3" t="s">
        <v>328</v>
      </c>
      <c r="F13" s="3" t="s">
        <v>329</v>
      </c>
      <c r="G13" s="3" t="s">
        <v>330</v>
      </c>
      <c r="H13" s="3" t="s">
        <v>331</v>
      </c>
    </row>
    <row r="14" spans="1:8" ht="27.75" customHeight="1" x14ac:dyDescent="0.3">
      <c r="A14" s="9" t="s">
        <v>332</v>
      </c>
      <c r="B14" s="3" t="s">
        <v>333</v>
      </c>
      <c r="C14" s="3" t="s">
        <v>334</v>
      </c>
      <c r="D14" s="3" t="s">
        <v>335</v>
      </c>
      <c r="E14" s="3" t="s">
        <v>336</v>
      </c>
      <c r="F14" s="3" t="s">
        <v>337</v>
      </c>
      <c r="G14" s="3" t="s">
        <v>338</v>
      </c>
      <c r="H14" s="3" t="s">
        <v>339</v>
      </c>
    </row>
    <row r="15" spans="1:8" ht="27.75" customHeight="1" x14ac:dyDescent="0.3">
      <c r="A15" s="9" t="s">
        <v>340</v>
      </c>
      <c r="B15" s="3" t="s">
        <v>341</v>
      </c>
      <c r="C15" s="3" t="s">
        <v>342</v>
      </c>
      <c r="D15" s="3" t="s">
        <v>343</v>
      </c>
      <c r="E15" s="3" t="s">
        <v>344</v>
      </c>
      <c r="F15" s="3" t="s">
        <v>345</v>
      </c>
      <c r="G15" s="3" t="s">
        <v>346</v>
      </c>
      <c r="H15" s="3" t="s">
        <v>347</v>
      </c>
    </row>
    <row r="16" spans="1:8" ht="41.25" customHeight="1" x14ac:dyDescent="0.3">
      <c r="A16" s="9" t="s">
        <v>348</v>
      </c>
      <c r="B16" s="3" t="s">
        <v>349</v>
      </c>
      <c r="C16" s="3" t="s">
        <v>350</v>
      </c>
      <c r="D16" s="3" t="s">
        <v>351</v>
      </c>
      <c r="E16" s="3" t="s">
        <v>352</v>
      </c>
      <c r="F16" s="3" t="s">
        <v>353</v>
      </c>
      <c r="G16" s="3" t="s">
        <v>354</v>
      </c>
      <c r="H16" s="3" t="s">
        <v>355</v>
      </c>
    </row>
    <row r="17" spans="1:8" ht="27.75" customHeight="1" x14ac:dyDescent="0.3">
      <c r="A17" s="9" t="s">
        <v>356</v>
      </c>
      <c r="B17" s="3" t="s">
        <v>357</v>
      </c>
      <c r="C17" s="3" t="s">
        <v>358</v>
      </c>
      <c r="D17" s="3" t="s">
        <v>359</v>
      </c>
      <c r="E17" s="3" t="s">
        <v>360</v>
      </c>
      <c r="F17" s="3" t="s">
        <v>361</v>
      </c>
      <c r="G17" s="3" t="s">
        <v>362</v>
      </c>
      <c r="H17" s="3" t="s">
        <v>363</v>
      </c>
    </row>
    <row r="18" spans="1:8" ht="27.75" customHeight="1" x14ac:dyDescent="0.3">
      <c r="A18" s="9" t="s">
        <v>364</v>
      </c>
      <c r="B18" s="3" t="s">
        <v>365</v>
      </c>
      <c r="C18" s="3" t="s">
        <v>366</v>
      </c>
      <c r="D18" s="3" t="s">
        <v>367</v>
      </c>
      <c r="E18" s="3" t="s">
        <v>368</v>
      </c>
      <c r="F18" s="3" t="s">
        <v>369</v>
      </c>
      <c r="G18" s="3" t="s">
        <v>370</v>
      </c>
      <c r="H18" s="3" t="s">
        <v>371</v>
      </c>
    </row>
    <row r="19" spans="1:8" ht="27.75" customHeight="1" x14ac:dyDescent="0.3">
      <c r="A19" s="9" t="s">
        <v>372</v>
      </c>
      <c r="B19" s="3" t="s">
        <v>373</v>
      </c>
      <c r="C19" s="3" t="s">
        <v>374</v>
      </c>
      <c r="D19" s="3" t="s">
        <v>375</v>
      </c>
      <c r="E19" s="3" t="s">
        <v>376</v>
      </c>
      <c r="F19" s="3" t="s">
        <v>377</v>
      </c>
      <c r="G19" s="3" t="s">
        <v>378</v>
      </c>
      <c r="H19" s="3" t="s">
        <v>379</v>
      </c>
    </row>
    <row r="20" spans="1:8" ht="27.75" customHeight="1" x14ac:dyDescent="0.3">
      <c r="A20" s="9" t="s">
        <v>380</v>
      </c>
      <c r="B20" s="3" t="s">
        <v>381</v>
      </c>
      <c r="C20" s="3" t="s">
        <v>382</v>
      </c>
      <c r="D20" s="3" t="s">
        <v>383</v>
      </c>
      <c r="E20" s="3" t="s">
        <v>384</v>
      </c>
      <c r="F20" s="3" t="s">
        <v>385</v>
      </c>
      <c r="G20" s="3" t="s">
        <v>386</v>
      </c>
      <c r="H20" s="3" t="s">
        <v>387</v>
      </c>
    </row>
    <row r="21" spans="1:8" ht="27.75" customHeight="1" x14ac:dyDescent="0.3">
      <c r="A21" s="9" t="s">
        <v>388</v>
      </c>
      <c r="B21" s="3" t="s">
        <v>389</v>
      </c>
      <c r="C21" s="3" t="s">
        <v>390</v>
      </c>
      <c r="D21" s="3" t="s">
        <v>391</v>
      </c>
      <c r="E21" s="3" t="s">
        <v>392</v>
      </c>
      <c r="F21" s="3" t="s">
        <v>393</v>
      </c>
      <c r="G21" s="3" t="s">
        <v>394</v>
      </c>
      <c r="H21" s="3" t="s">
        <v>395</v>
      </c>
    </row>
  </sheetData>
  <mergeCells count="2">
    <mergeCell ref="A1:H1"/>
    <mergeCell ref="A2:H2"/>
  </mergeCells>
  <pageMargins left="0.25" right="0.25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showGridLines="0" tabSelected="1" zoomScaleNormal="100" workbookViewId="0">
      <pane ySplit="2" topLeftCell="A3" activePane="bottomLeft" state="frozen"/>
      <selection pane="bottomLeft"/>
    </sheetView>
  </sheetViews>
  <sheetFormatPr defaultColWidth="8.6640625" defaultRowHeight="15" customHeight="1" x14ac:dyDescent="0.3"/>
  <cols>
    <col min="1" max="1" width="26" customWidth="1"/>
    <col min="2" max="2" width="90" customWidth="1"/>
    <col min="3" max="3" width="100" customWidth="1"/>
  </cols>
  <sheetData>
    <row r="1" spans="1:3" ht="33.75" customHeight="1" x14ac:dyDescent="0.3">
      <c r="A1" s="1" t="s">
        <v>396</v>
      </c>
      <c r="B1" s="3"/>
    </row>
    <row r="2" spans="1:3" ht="15" customHeight="1" x14ac:dyDescent="0.3">
      <c r="B2" s="3"/>
    </row>
    <row r="3" spans="1:3" ht="15" customHeight="1" x14ac:dyDescent="0.3">
      <c r="A3" s="25" t="s">
        <v>397</v>
      </c>
      <c r="B3" s="24" t="s">
        <v>398</v>
      </c>
    </row>
    <row r="4" spans="1:3" ht="15" customHeight="1" x14ac:dyDescent="0.3">
      <c r="A4" s="2" t="s">
        <v>399</v>
      </c>
      <c r="B4" s="2" t="s">
        <v>400</v>
      </c>
    </row>
    <row r="5" spans="1:3" ht="15" customHeight="1" x14ac:dyDescent="0.3">
      <c r="A5" t="s">
        <v>401</v>
      </c>
      <c r="B5" s="3" t="s">
        <v>402</v>
      </c>
    </row>
    <row r="6" spans="1:3" ht="15" customHeight="1" x14ac:dyDescent="0.3">
      <c r="B6" s="3"/>
    </row>
    <row r="7" spans="1:3" ht="15" customHeight="1" x14ac:dyDescent="0.3">
      <c r="A7" t="s">
        <v>403</v>
      </c>
      <c r="B7" s="3" t="s">
        <v>404</v>
      </c>
      <c r="C7" t="s">
        <v>405</v>
      </c>
    </row>
    <row r="8" spans="1:3" ht="15" customHeight="1" x14ac:dyDescent="0.3">
      <c r="A8" t="s">
        <v>403</v>
      </c>
      <c r="B8" s="3" t="s">
        <v>406</v>
      </c>
      <c r="C8" t="s">
        <v>407</v>
      </c>
    </row>
    <row r="9" spans="1:3" ht="15" customHeight="1" x14ac:dyDescent="0.3">
      <c r="A9" t="s">
        <v>403</v>
      </c>
      <c r="B9" s="3" t="s">
        <v>408</v>
      </c>
      <c r="C9" t="s">
        <v>409</v>
      </c>
    </row>
    <row r="10" spans="1:3" ht="15" customHeight="1" x14ac:dyDescent="0.3">
      <c r="A10" t="s">
        <v>403</v>
      </c>
      <c r="B10" s="3" t="s">
        <v>410</v>
      </c>
      <c r="C10" t="s">
        <v>411</v>
      </c>
    </row>
    <row r="11" spans="1:3" ht="15" customHeight="1" x14ac:dyDescent="0.3">
      <c r="A11" t="s">
        <v>403</v>
      </c>
      <c r="B11" s="3" t="s">
        <v>412</v>
      </c>
      <c r="C11" t="s">
        <v>413</v>
      </c>
    </row>
    <row r="12" spans="1:3" ht="15" customHeight="1" x14ac:dyDescent="0.3">
      <c r="B12" s="3"/>
    </row>
    <row r="13" spans="1:3" ht="27.75" customHeight="1" x14ac:dyDescent="0.3">
      <c r="A13" t="s">
        <v>414</v>
      </c>
      <c r="B13" s="3" t="s">
        <v>415</v>
      </c>
    </row>
    <row r="14" spans="1:3" ht="27.75" customHeight="1" x14ac:dyDescent="0.3">
      <c r="A14" t="s">
        <v>416</v>
      </c>
      <c r="B14" s="3" t="s">
        <v>417</v>
      </c>
    </row>
    <row r="15" spans="1:3" ht="27.75" customHeight="1" x14ac:dyDescent="0.3">
      <c r="A15" t="s">
        <v>418</v>
      </c>
      <c r="B15" s="3" t="s">
        <v>419</v>
      </c>
    </row>
    <row r="16" spans="1:3" ht="27.75" customHeight="1" x14ac:dyDescent="0.3">
      <c r="A16" t="s">
        <v>420</v>
      </c>
      <c r="B16" s="3" t="s">
        <v>421</v>
      </c>
    </row>
    <row r="18" spans="1:3" ht="14.4" x14ac:dyDescent="0.3">
      <c r="A18" s="31" t="s">
        <v>422</v>
      </c>
      <c r="B18" s="30"/>
      <c r="C18" s="30"/>
    </row>
  </sheetData>
  <mergeCells count="1"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 Raw Data</vt:lpstr>
      <vt:lpstr>01 Income Statement</vt:lpstr>
      <vt:lpstr>02 Income Ratios</vt:lpstr>
      <vt:lpstr>03 Balance Sheet</vt:lpstr>
      <vt:lpstr>04 Balance Ratios</vt:lpstr>
      <vt:lpstr>05 Red Flags</vt:lpstr>
      <vt:lpstr>06 ESG</vt:lpstr>
      <vt:lpstr>07 MD&amp;A</vt:lpstr>
      <vt:lpstr>08 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Bansal</cp:lastModifiedBy>
  <cp:revision>0</cp:revision>
  <dcterms:created xsi:type="dcterms:W3CDTF">2026-07-29T05:44:31Z</dcterms:created>
  <dcterms:modified xsi:type="dcterms:W3CDTF">2026-08-24T18:57:24Z</dcterms:modified>
  <dc:language>en-US</dc:language>
</cp:coreProperties>
</file>